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44c2c2542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b3af1715824cb4"/>
    <x:sheet xmlns:r="http://schemas.openxmlformats.org/officeDocument/2006/relationships" name="Checkpoint Metrics" sheetId="2" r:id="R93ff595c65e1450c"/>
    <x:sheet xmlns:r="http://schemas.openxmlformats.org/officeDocument/2006/relationships" name="G0 vs G50" sheetId="3" r:id="Rf39515a3d9c64635"/>
    <x:sheet xmlns:r="http://schemas.openxmlformats.org/officeDocument/2006/relationships" name="Analytical Findings" sheetId="4" r:id="R505429944d8e4c43"/>
    <x:sheet xmlns:r="http://schemas.openxmlformats.org/officeDocument/2006/relationships" name="Output Artifacts" sheetId="5" r:id="R18ce05fe44364d0a"/>
    <x:sheet xmlns:r="http://schemas.openxmlformats.org/officeDocument/2006/relationships" name="Metric Notes" sheetId="6" r:id="R1a4bef8e4ab0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51c64f06843c3" /><Relationship Type="http://schemas.openxmlformats.org/officeDocument/2006/relationships/theme" Target="/xl/theme/theme1.xml" Id="Rd8a2749231c9481d" /><Relationship Type="http://schemas.openxmlformats.org/officeDocument/2006/relationships/sharedStrings" Target="/xl/sharedStrings.xml" Id="R1a790d1b602a4a1e" /><Relationship Type="http://schemas.openxmlformats.org/officeDocument/2006/relationships/worksheet" Target="/xl/worksheets/sheet1.xml" Id="Recb3af1715824cb4" /><Relationship Type="http://schemas.openxmlformats.org/officeDocument/2006/relationships/worksheet" Target="/xl/worksheets/sheet2.xml" Id="R93ff595c65e1450c" /><Relationship Type="http://schemas.openxmlformats.org/officeDocument/2006/relationships/worksheet" Target="/xl/worksheets/sheet3.xml" Id="Rf39515a3d9c64635" /><Relationship Type="http://schemas.openxmlformats.org/officeDocument/2006/relationships/worksheet" Target="/xl/worksheets/sheet4.xml" Id="R505429944d8e4c43" /><Relationship Type="http://schemas.openxmlformats.org/officeDocument/2006/relationships/worksheet" Target="/xl/worksheets/sheet5.xml" Id="R18ce05fe44364d0a" /><Relationship Type="http://schemas.openxmlformats.org/officeDocument/2006/relationships/worksheet" Target="/xl/worksheets/sheet6.xml" Id="R1a4bef8e4ab043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2a4419f90b4a38" /><Relationship Type="http://schemas.openxmlformats.org/officeDocument/2006/relationships/chart" Target="/xl/drawings/charts/chart2.xml" Id="Rab936db354fc421b" /><Relationship Type="http://schemas.openxmlformats.org/officeDocument/2006/relationships/chart" Target="/xl/drawings/charts/chart3.xml" Id="Rb6511b001e1f4c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Population size — available checkpoints</a:t>
            </a:r>
          </a:p>
        </c:rich>
      </c:tx>
    </c:title>
    <c:plotArea>
      <c:lineChart>
        <c:grouping val="standard"/>
        <c:ser>
          <c:idx val="0"/>
          <c:order val="0"/>
          <c:tx>
            <c:v>Population size</c:v>
          </c:tx>
          <c:marker>
            <c:symbol val="none"/>
          </c:marker>
          <c:cat>
            <c:strRef>
              <c:f>'Dashboard'!$J$2:$J$10</c:f>
              <c:strCache>
                <c:ptCount val="0"/>
              </c:strCache>
            </c:strRef>
          </c:cat>
          <c:val>
            <c:numRef>
              <c:f>'Dashboard'!$K$2:$K$10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micro fitness — available checkpoints</a:t>
            </a:r>
          </a:p>
        </c:rich>
      </c:tx>
    </c:title>
    <c:plotArea>
      <c:lineChart>
        <c:grouping val="standard"/>
        <c:ser>
          <c:idx val="0"/>
          <c:order val="0"/>
          <c:tx>
            <c:v>Mean micro fitness</c:v>
          </c:tx>
          <c:marker>
            <c:symbol val="none"/>
          </c:marker>
          <c:cat>
            <c:strRef>
              <c:f>'Dashboard'!$M$2:$M$10</c:f>
              <c:strCache>
                <c:ptCount val="0"/>
              </c:strCache>
            </c:strRef>
          </c:cat>
          <c:val>
            <c:numRef>
              <c:f>'Dashboard'!$N$2:$N$10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Recall and active genome diversity</a:t>
            </a:r>
          </a:p>
        </c:rich>
      </c:tx>
    </c:title>
    <c:plotArea>
      <c:lineChart>
        <c:grouping val="standard"/>
        <c:ser>
          <c:idx val="0"/>
          <c:order val="0"/>
          <c:tx>
            <c:v>Recall</c:v>
          </c:tx>
          <c:marker>
            <c:symbol val="none"/>
          </c:marker>
          <c:cat>
            <c:strRef>
              <c:f>'Dashboard'!$P$2:$P$10</c:f>
              <c:strCache>
                <c:ptCount val="0"/>
              </c:strCache>
            </c:strRef>
          </c:cat>
          <c:val>
            <c:numRef>
              <c:f>'Dashboard'!$Q$2:$Q$10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Unique genome ratio</c:v>
          </c:tx>
          <c:marker>
            <c:symbol val="none"/>
          </c:marker>
          <c:cat>
            <c:strRef>
              <c:f>'Dashboard'!$P$2:$P$10</c:f>
              <c:strCache>
                <c:ptCount val="0"/>
              </c:strCache>
            </c:strRef>
          </c:cat>
          <c:val>
            <c:numRef>
              <c:f>'Dashboard'!$R$2:$R$10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2a4419f90b4a38"/>
        </a:graphicData>
      </a:graphic>
    </xdr:graphicFrame>
    <xdr:clientData/>
  </xdr:twoCellAnchor>
  <xdr:twoCellAnchor>
    <xdr:from>
      <xdr:col>3</xdr:col>
      <xdr:colOff>0</xdr:colOff>
      <xdr:row>27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36db354fc421b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3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511b001e1f4c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546ddca17b4f8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4" max="4" width="26" hidden="0" customWidth="1"/>
    <x:col min="5" max="5" width="14" hidden="0" customWidth="1"/>
    <x:col min="6" max="6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5" t="str">
        <x:v>GenoLOM M7 — Genetic Evolution Results</x:v>
      </x:c>
      <x:c r="B1" s="5"/>
      <x:c r="C1" s="5"/>
      <x:c r="D1" s="5"/>
      <x:c r="E1" s="5"/>
      <x:c r="F1" s="5"/>
      <x:c r="G1" s="5"/>
      <x:c r="H1" s="5"/>
      <x:c r="J1" s="20" t="str">
        <x:v>Generation</x:v>
      </x:c>
      <x:c r="K1" s="20" t="str">
        <x:v>Population size</x:v>
      </x:c>
      <x:c r="M1" s="20" t="str">
        <x:v>Generation</x:v>
      </x:c>
      <x:c r="N1" s="20" t="str">
        <x:v>Mean micro fitness</x:v>
      </x:c>
      <x:c r="P1" s="20" t="str">
        <x:v>Generation</x:v>
      </x:c>
      <x:c r="Q1" s="20" t="str">
        <x:v>Recall</x:v>
      </x:c>
      <x:c r="R1" s="20" t="str">
        <x:v>Unique genome ratio</x:v>
      </x:c>
    </x:row>
    <x:row r="2">
      <x:c r="A2" s="5"/>
      <x:c r="B2" s="5"/>
      <x:c r="C2" s="5"/>
      <x:c r="D2" s="5"/>
      <x:c r="E2" s="5"/>
      <x:c r="F2" s="5"/>
      <x:c r="G2" s="5"/>
      <x:c r="H2" s="5"/>
      <x:c r="J2" t="n">
        <x:v>0</x:v>
      </x:c>
      <x:c r="K2" t="n">
        <x:v>298</x:v>
      </x:c>
      <x:c r="M2" t="n">
        <x:v>0</x:v>
      </x:c>
      <x:c r="N2" t="n">
        <x:v>0.3014201536319226</x:v>
      </x:c>
      <x:c r="P2" t="n">
        <x:v>0</x:v>
      </x:c>
      <x:c r="Q2" t="n">
        <x:v>1</x:v>
      </x:c>
      <x:c r="R2" t="n">
        <x:v>0.6375838926174496</x:v>
      </x:c>
    </x:row>
    <x:row r="3">
      <x:c r="A3" s="12" t="str">
        <x:v>Run: run-20260926T074102Z-f046b3e2 | Technical/pilot G0→G50 run | Seed 42 | Development configuration</x:v>
      </x:c>
      <x:c r="B3" s="12"/>
      <x:c r="C3" s="12"/>
      <x:c r="D3" s="12"/>
      <x:c r="E3" s="12"/>
      <x:c r="F3" s="12"/>
      <x:c r="G3" s="12"/>
      <x:c r="H3" s="12"/>
      <x:c r="J3" t="n">
        <x:v>1</x:v>
      </x:c>
      <x:c r="K3" t="n">
        <x:v>309</x:v>
      </x:c>
      <x:c r="M3" t="n">
        <x:v>1</x:v>
      </x:c>
      <x:c r="N3" t="n">
        <x:v>0.30902871342711846</x:v>
      </x:c>
      <x:c r="P3" t="n">
        <x:v>1</x:v>
      </x:c>
      <x:c r="Q3" t="n">
        <x:v>1</x:v>
      </x:c>
      <x:c r="R3" t="n">
        <x:v>0.6472491909385113</x:v>
      </x:c>
    </x:row>
    <x:row r="4">
      <x:c r="J4" t="n">
        <x:v>2</x:v>
      </x:c>
      <x:c r="K4" t="n">
        <x:v>447</x:v>
      </x:c>
      <x:c r="M4" t="n">
        <x:v>2</x:v>
      </x:c>
      <x:c r="N4" t="n">
        <x:v>0.37524696642266153</x:v>
      </x:c>
      <x:c r="P4" t="n">
        <x:v>2</x:v>
      </x:c>
      <x:c r="Q4" t="n">
        <x:v>1</x:v>
      </x:c>
      <x:c r="R4" t="n">
        <x:v>0.6219239373601789</x:v>
      </x:c>
    </x:row>
    <x:row r="5">
      <x:c r="A5" s="20" t="str">
        <x:v>KPI</x:v>
      </x:c>
      <x:c r="B5" s="20" t="str">
        <x:v>Value</x:v>
      </x:c>
      <x:c r="D5" s="20" t="str">
        <x:v>Metric</x:v>
      </x:c>
      <x:c r="E5" s="20" t="str">
        <x:v>G0</x:v>
      </x:c>
      <x:c r="F5" s="20" t="str">
        <x:v>G50</x:v>
      </x:c>
      <x:c r="J5" t="n">
        <x:v>3</x:v>
      </x:c>
      <x:c r="K5" t="n">
        <x:v>468</x:v>
      </x:c>
      <x:c r="M5" t="n">
        <x:v>3</x:v>
      </x:c>
      <x:c r="N5" t="n">
        <x:v>0.5114319994379518</x:v>
      </x:c>
      <x:c r="P5" t="n">
        <x:v>3</x:v>
      </x:c>
      <x:c r="Q5" t="n">
        <x:v>0.9067796610169492</x:v>
      </x:c>
      <x:c r="R5" t="n">
        <x:v>0.6602564102564102</x:v>
      </x:c>
    </x:row>
    <x:row r="6">
      <x:c r="A6" s="27" t="str">
        <x:v>Generation reached</x:v>
      </x:c>
      <x:c r="B6" t="n">
        <x:v>50</x:v>
      </x:c>
      <x:c r="D6" s="27" t="str">
        <x:v>Mean micro fitness</x:v>
      </x:c>
      <x:c r="E6" s="30" t="n">
        <x:v>0.3014201536319226</x:v>
      </x:c>
      <x:c r="F6" s="30" t="n">
        <x:v>0.9699889603074014</x:v>
      </x:c>
      <x:c r="J6" t="n">
        <x:v>46</x:v>
      </x:c>
      <x:c r="K6" t="n">
        <x:v>3163</x:v>
      </x:c>
      <x:c r="M6" t="n">
        <x:v>46</x:v>
      </x:c>
      <x:c r="N6" t="n">
        <x:v>0.9660601498476933</x:v>
      </x:c>
      <x:c r="P6" t="n">
        <x:v>46</x:v>
      </x:c>
      <x:c r="Q6" t="n">
        <x:v>0.3135593220338983</x:v>
      </x:c>
      <x:c r="R6" t="n">
        <x:v>0.08030350932658868</x:v>
      </x:c>
    </x:row>
    <x:row r="7">
      <x:c r="A7" s="27" t="str">
        <x:v>Initial population (G0)</x:v>
      </x:c>
      <x:c r="B7" t="n">
        <x:v>298</x:v>
      </x:c>
      <x:c r="D7" s="27" t="str">
        <x:v>Mean Cohesion</x:v>
      </x:c>
      <x:c r="E7" s="30" t="n">
        <x:v>0.461049399625622</x:v>
      </x:c>
      <x:c r="F7" s="30" t="n">
        <x:v>0.948197713601706</x:v>
      </x:c>
      <x:c r="J7" t="n">
        <x:v>47</x:v>
      </x:c>
      <x:c r="K7" t="n">
        <x:v>3220</x:v>
      </x:c>
      <x:c r="M7" t="n">
        <x:v>47</x:v>
      </x:c>
      <x:c r="N7" t="n">
        <x:v>0.9680995390909987</x:v>
      </x:c>
      <x:c r="P7" t="n">
        <x:v>47</x:v>
      </x:c>
      <x:c r="Q7" t="n">
        <x:v>0.3050847457627119</x:v>
      </x:c>
      <x:c r="R7" t="n">
        <x:v>0.07701863354037267</x:v>
      </x:c>
    </x:row>
    <x:row r="8">
      <x:c r="A8" s="27" t="str">
        <x:v>Final active population (G50)</x:v>
      </x:c>
      <x:c r="B8" t="n">
        <x:v>3156</x:v>
      </x:c>
      <x:c r="D8" s="27" t="str">
        <x:v>Mean Dependence</x:v>
      </x:c>
      <x:c r="E8" s="30" t="n">
        <x:v>0.14179090763822308</x:v>
      </x:c>
      <x:c r="F8" s="30" t="n">
        <x:v>0.9917802070130968</x:v>
      </x:c>
      <x:c r="J8" t="n">
        <x:v>48</x:v>
      </x:c>
      <x:c r="K8" t="n">
        <x:v>3227</x:v>
      </x:c>
      <x:c r="M8" t="n">
        <x:v>48</x:v>
      </x:c>
      <x:c r="N8" t="n">
        <x:v>0.969497192586362</x:v>
      </x:c>
      <x:c r="P8" t="n">
        <x:v>48</x:v>
      </x:c>
      <x:c r="Q8" t="n">
        <x:v>0.288135593220339</x:v>
      </x:c>
      <x:c r="R8" t="n">
        <x:v>0.07747133560582585</x:v>
      </x:c>
    </x:row>
    <x:row r="9">
      <x:c r="A9" s="27" t="str">
        <x:v>Historical archive individuals</x:v>
      </x:c>
      <x:c r="B9" t="n">
        <x:v>24571</x:v>
      </x:c>
      <x:c r="D9" s="27" t="str">
        <x:v>Recall / Coverage Span</x:v>
      </x:c>
      <x:c r="E9" s="30" t="n">
        <x:v>1</x:v>
      </x:c>
      <x:c r="F9" s="30" t="n">
        <x:v>0.2542372881355932</x:v>
      </x:c>
      <x:c r="J9" t="n">
        <x:v>49</x:v>
      </x:c>
      <x:c r="K9" t="n">
        <x:v>3194</x:v>
      </x:c>
      <x:c r="M9" t="n">
        <x:v>49</x:v>
      </x:c>
      <x:c r="N9" t="n">
        <x:v>0.9704581072149169</x:v>
      </x:c>
      <x:c r="P9" t="n">
        <x:v>49</x:v>
      </x:c>
      <x:c r="Q9" t="n">
        <x:v>0.2457627118644068</x:v>
      </x:c>
      <x:c r="R9" t="n">
        <x:v>0.07733249843456481</x:v>
      </x:c>
    </x:row>
    <x:row r="10">
      <x:c r="A10" s="27" t="str">
        <x:v>Unique genome variants</x:v>
      </x:c>
      <x:c r="B10" t="n">
        <x:v>2079</x:v>
      </x:c>
      <x:c r="D10" s="27" t="str">
        <x:v>Generation F1</x:v>
      </x:c>
      <x:c r="E10" s="30" t="n">
        <x:v>1</x:v>
      </x:c>
      <x:c r="F10" s="30" t="n">
        <x:v>0.4054054054054054</x:v>
      </x:c>
      <x:c r="J10" t="n">
        <x:v>50</x:v>
      </x:c>
      <x:c r="K10" t="n">
        <x:v>3156</x:v>
      </x:c>
      <x:c r="M10" t="n">
        <x:v>50</x:v>
      </x:c>
      <x:c r="N10" t="n">
        <x:v>0.9699889603074014</x:v>
      </x:c>
      <x:c r="P10" t="n">
        <x:v>50</x:v>
      </x:c>
      <x:c r="Q10" t="n">
        <x:v>0.2542372881355932</x:v>
      </x:c>
      <x:c r="R10" t="n">
        <x:v>0.0779467680608365</x:v>
      </x:c>
    </x:row>
    <x:row r="11">
      <x:c r="A11" s="27" t="str">
        <x:v>Extinct</x:v>
      </x:c>
      <x:c r="B11" t="str">
        <x:v>False</x:v>
      </x:c>
      <x:c r="D11" s="27" t="str">
        <x:v>Unique genome ratio</x:v>
      </x:c>
      <x:c r="E11" s="30" t="n">
        <x:v>0.6375838926174496</x:v>
      </x:c>
      <x:c r="F11" s="30" t="n">
        <x:v>0.0779467680608365</x:v>
      </x:c>
    </x:row>
    <x:row r="12">
      <x:c r="A12" s="27" t="str">
        <x:v>Reference concepts (T_ref)</x:v>
      </x:c>
      <x:c r="B12" t="n">
        <x:v>118</x:v>
      </x:c>
      <x:c r="D12" s="27" t="str">
        <x:v>Coherency Rate</x:v>
      </x:c>
      <x:c r="E12" s="30" t="n">
        <x:v>1</x:v>
      </x:c>
      <x:c r="F12" s="30" t="n">
        <x:v>1</x:v>
      </x:c>
    </x:row>
    <x:row r="13">
      <x:c r="D13" s="27" t="str">
        <x:v>Precision</x:v>
      </x:c>
      <x:c r="E13" s="30" t="n">
        <x:v>1</x:v>
      </x:c>
      <x:c r="F13" s="30" t="n">
        <x:v>1</x:v>
      </x:c>
    </x:row>
    <x:row r="15">
      <x:c r="A15" s="35" t="str">
        <x:v>High-level interpretation</x:v>
      </x:c>
      <x:c r="B15" s="35"/>
      <x:c r="C15" s="35"/>
      <x:c r="D15" s="35"/>
      <x:c r="E15" s="35"/>
      <x:c r="F15" s="35"/>
      <x:c r="G15" s="35"/>
      <x:c r="H15" s="35"/>
    </x:row>
    <x:row r="16">
      <x:c r="A16" s="27" t="str">
        <x:v>Technical status</x:v>
      </x:c>
      <x:c r="B16" s="40" t="str">
        <x:v>SUCCESS — end-to-end genome-only evolution reached G50, with complete snapshots/archive/library/lineage/metrics/logs.</x:v>
      </x:c>
    </x:row>
    <x:row r="17">
      <x:c r="A17" s="27" t="str">
        <x:v>Optimization behavior</x:v>
      </x:c>
      <x:c r="B17" s="40" t="str">
        <x:v>Micro fitness, Cohesion, and Dependence increased strongly; selection pressure clearly affects the population.</x:v>
      </x:c>
    </x:row>
    <x:row r="18">
      <x:c r="A18" s="27" t="str">
        <x:v>Main concern</x:v>
      </x:c>
      <x:c r="B18" s="40" t="str">
        <x:v>Concept coverage and active-genome diversity collapsed while fitness increased.</x:v>
      </x:c>
    </x:row>
    <x:row r="19">
      <x:c r="A19" s="27" t="str">
        <x:v>Population dynamics</x:v>
      </x:c>
      <x:c r="B19" s="40" t="str">
        <x:v>Population grew from 298 to 3,156 active individuals; reproduction currently outpaces Perish strongly.</x:v>
      </x:c>
    </x:row>
    <x:row r="20">
      <x:c r="A20" s="27" t="str">
        <x:v>Metric caveat</x:v>
      </x:c>
      <x:c r="B20" s="40" t="str">
        <x:v>Coherency Rate and Precision were saturated at 1.0 in inspected checkpoints, so they are currently weak discriminators.</x:v>
      </x:c>
    </x:row>
    <x:row r="21">
      <x:c r="A21" s="27" t="str">
        <x:v>Scientific status</x:v>
      </x:c>
      <x:c r="B21" s="40" t="str">
        <x:v>Technical/pilot run only — not the final calibrated scientific result.</x:v>
      </x:c>
    </x:row>
  </x:sheetData>
  <x:mergeCells>
    <x:mergeCell ref="A1:H2"/>
    <x:mergeCell ref="A3:H3"/>
    <x:mergeCell ref="A15:H15"/>
  </x:mergeCells>
  <x:pageMargins left="0.7" right="0.7" top="0.75" bottom="0.75" header="0.3" footer="0.3"/>
  <x:drawing xmlns:r="http://schemas.openxmlformats.org/officeDocument/2006/relationships" r:id="Rab546ddca17b4f8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</x:cols>
  <x:sheetData>
    <x:row r="1">
      <x:c r="A1" s="5" t="str">
        <x:v>Numeric checkpoint results from the first full G0→G50 technical run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  <x:c r="BA2" s="5"/>
      <x:c r="BB2" s="5"/>
      <x:c r="BC2" s="5"/>
      <x:c r="BD2" s="5"/>
    </x:row>
    <x:row r="3">
      <x:c r="A3" s="44" t="str">
        <x:v>The pasted run output contains full headers plus numeric rows for G0–G3 and G46–G50. These checkpoint rows are reproduced here.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  <x:c r="BA3" s="44"/>
      <x:c r="BB3" s="44"/>
      <x:c r="BC3" s="44"/>
      <x:c r="BD3" s="44"/>
    </x:row>
    <x:row r="5">
      <x:c r="A5" s="20" t="str">
        <x:v>generation</x:v>
      </x:c>
      <x:c r="B5" s="20" t="str">
        <x:v>population_size</x:v>
      </x:c>
      <x:c r="C5" s="20" t="str">
        <x:v>reference_topic_count</x:v>
      </x:c>
      <x:c r="D5" s="20" t="str">
        <x:v>keyword_occurrence_count</x:v>
      </x:c>
      <x:c r="E5" s="20" t="str">
        <x:v>coherent_keyword_occurrence_count</x:v>
      </x:c>
      <x:c r="F5" s="20" t="str">
        <x:v>unresolved_keyword_occurrence_count</x:v>
      </x:c>
      <x:c r="G5" s="20" t="str">
        <x:v>coherency_rate</x:v>
      </x:c>
      <x:c r="H5" s="20" t="str">
        <x:v>covered_reference_topic_count</x:v>
      </x:c>
      <x:c r="I5" s="20" t="str">
        <x:v>coverage_span</x:v>
      </x:c>
      <x:c r="J5" s="20" t="str">
        <x:v>recall</x:v>
      </x:c>
      <x:c r="K5" s="20" t="str">
        <x:v>precision</x:v>
      </x:c>
      <x:c r="L5" s="20" t="str">
        <x:v>generation_f1</x:v>
      </x:c>
      <x:c r="M5" s="20" t="str">
        <x:v>precision_component_count</x:v>
      </x:c>
      <x:c r="N5" s="20" t="str">
        <x:v>precision_subgraph_node_count</x:v>
      </x:c>
      <x:c r="O5" s="20" t="str">
        <x:v>mean_micro_fitness</x:v>
      </x:c>
      <x:c r="P5" s="20" t="str">
        <x:v>median_micro_fitness</x:v>
      </x:c>
      <x:c r="Q5" s="20" t="str">
        <x:v>max_micro_fitness</x:v>
      </x:c>
      <x:c r="R5" s="20" t="str">
        <x:v>min_micro_fitness</x:v>
      </x:c>
      <x:c r="S5" s="20" t="str">
        <x:v>mean_cohesion</x:v>
      </x:c>
      <x:c r="T5" s="20" t="str">
        <x:v>mean_dependence</x:v>
      </x:c>
      <x:c r="U5" s="20" t="str">
        <x:v>unique_genome_ratio</x:v>
      </x:c>
      <x:c r="V5" s="20" t="str">
        <x:v>unique_keyword_count</x:v>
      </x:c>
      <x:c r="W5" s="20" t="str">
        <x:v>resource_type_entropy</x:v>
      </x:c>
      <x:c r="X5" s="20" t="str">
        <x:v>interactivity_type_entropy</x:v>
      </x:c>
      <x:c r="Y5" s="20" t="str">
        <x:v>coverage_rate_at_1</x:v>
      </x:c>
      <x:c r="Z5" s="20" t="str">
        <x:v>threshold_covered_topic_count_at_1</x:v>
      </x:c>
      <x:c r="AA5" s="20" t="str">
        <x:v>coverage_rate_at_2</x:v>
      </x:c>
      <x:c r="AB5" s="20" t="str">
        <x:v>threshold_covered_topic_count_at_2</x:v>
      </x:c>
      <x:c r="AC5" s="20" t="str">
        <x:v>coverage_rate_at_3</x:v>
      </x:c>
      <x:c r="AD5" s="20" t="str">
        <x:v>threshold_covered_topic_count_at_3</x:v>
      </x:c>
      <x:c r="AE5" s="20" t="str">
        <x:v>coverage_rate_at_5</x:v>
      </x:c>
      <x:c r="AF5" s="20" t="str">
        <x:v>threshold_covered_topic_count_at_5</x:v>
      </x:c>
      <x:c r="AG5" s="20" t="str">
        <x:v>operator_attempt_budget</x:v>
      </x:c>
      <x:c r="AH5" s="20" t="str">
        <x:v>attempted_composition</x:v>
      </x:c>
      <x:c r="AI5" s="20" t="str">
        <x:v>attempted_crossover</x:v>
      </x:c>
      <x:c r="AJ5" s="20" t="str">
        <x:v>attempted_decomposition</x:v>
      </x:c>
      <x:c r="AK5" s="20" t="str">
        <x:v>attempted_defusion</x:v>
      </x:c>
      <x:c r="AL5" s="20" t="str">
        <x:v>attempted_fusion</x:v>
      </x:c>
      <x:c r="AM5" s="20" t="str">
        <x:v>attempted_mutation</x:v>
      </x:c>
      <x:c r="AN5" s="20" t="str">
        <x:v>successful_mutation</x:v>
      </x:c>
      <x:c r="AO5" s="20" t="str">
        <x:v>offspring_mutation</x:v>
      </x:c>
      <x:c r="AP5" s="20" t="str">
        <x:v>skipped_composition</x:v>
      </x:c>
      <x:c r="AQ5" s="20" t="str">
        <x:v>skipped_crossover</x:v>
      </x:c>
      <x:c r="AR5" s="20" t="str">
        <x:v>skipped_decomposition</x:v>
      </x:c>
      <x:c r="AS5" s="20" t="str">
        <x:v>skipped_defusion</x:v>
      </x:c>
      <x:c r="AT5" s="20" t="str">
        <x:v>skipped_fusion</x:v>
      </x:c>
      <x:c r="AU5" s="20" t="str">
        <x:v>successful_composition</x:v>
      </x:c>
      <x:c r="AV5" s="20" t="str">
        <x:v>successful_crossover</x:v>
      </x:c>
      <x:c r="AW5" s="20" t="str">
        <x:v>offspring_composition</x:v>
      </x:c>
      <x:c r="AX5" s="20" t="str">
        <x:v>offspring_crossover</x:v>
      </x:c>
      <x:c r="AY5" s="20" t="str">
        <x:v>successful_fusion</x:v>
      </x:c>
      <x:c r="AZ5" s="20" t="str">
        <x:v>offspring_fusion</x:v>
      </x:c>
      <x:c r="BA5" s="20" t="str">
        <x:v>successful_decomposition</x:v>
      </x:c>
      <x:c r="BB5" s="20" t="str">
        <x:v>offspring_decomposition</x:v>
      </x:c>
      <x:c r="BC5" s="20" t="str">
        <x:v>successful_defusion</x:v>
      </x:c>
      <x:c r="BD5" s="20" t="str">
        <x:v>offspring_defusion</x:v>
      </x:c>
    </x:row>
    <x:row r="6">
      <x:c r="A6" s="48" t="n">
        <x:v>0</x:v>
      </x:c>
      <x:c r="B6" s="48" t="n">
        <x:v>298</x:v>
      </x:c>
      <x:c r="C6" s="48" t="n">
        <x:v>118</x:v>
      </x:c>
      <x:c r="D6" s="48" t="n">
        <x:v>397</x:v>
      </x:c>
      <x:c r="E6" s="48" t="n">
        <x:v>397</x:v>
      </x:c>
      <x:c r="F6" s="48" t="n">
        <x:v>0</x:v>
      </x:c>
      <x:c r="G6" s="30" t="n">
        <x:v>1</x:v>
      </x:c>
      <x:c r="H6" s="48" t="n">
        <x:v>118</x:v>
      </x:c>
      <x:c r="I6" s="30" t="n">
        <x:v>1</x:v>
      </x:c>
      <x:c r="J6" s="30" t="n">
        <x:v>1</x:v>
      </x:c>
      <x:c r="K6" s="30" t="n">
        <x:v>1</x:v>
      </x:c>
      <x:c r="L6" s="30" t="n">
        <x:v>1</x:v>
      </x:c>
      <x:c r="M6" s="48" t="n">
        <x:v>1</x:v>
      </x:c>
      <x:c r="N6" s="48" t="n">
        <x:v>1070</x:v>
      </x:c>
      <x:c r="O6" s="30" t="n">
        <x:v>0.3014201536319226</x:v>
      </x:c>
      <x:c r="P6" s="30" t="n">
        <x:v>0.33562499999999995</x:v>
      </x:c>
      <x:c r="Q6" s="30" t="n">
        <x:v>1</x:v>
      </x:c>
      <x:c r="R6" s="30" t="n">
        <x:v>0</x:v>
      </x:c>
      <x:c r="S6" s="30" t="n">
        <x:v>0.461049399625622</x:v>
      </x:c>
      <x:c r="T6" s="30" t="n">
        <x:v>0.14179090763822308</x:v>
      </x:c>
      <x:c r="U6" s="30" t="n">
        <x:v>0.6375838926174496</x:v>
      </x:c>
      <x:c r="V6" s="48" t="n">
        <x:v>118</x:v>
      </x:c>
      <x:c r="W6" s="30" t="n">
        <x:v>1.3323756381456564</x:v>
      </x:c>
      <x:c r="X6" s="30" t="n">
        <x:v>0.6832690775847653</x:v>
      </x:c>
      <x:c r="Y6" s="30" t="n">
        <x:v>1</x:v>
      </x:c>
      <x:c r="Z6" s="48" t="n">
        <x:v>118</x:v>
      </x:c>
      <x:c r="AA6" s="30" t="n">
        <x:v>0.3389830508474576</x:v>
      </x:c>
      <x:c r="AB6" s="48" t="n">
        <x:v>40</x:v>
      </x:c>
      <x:c r="AC6" s="30" t="n">
        <x:v>0.2033898305084746</x:v>
      </x:c>
      <x:c r="AD6" s="48" t="n">
        <x:v>24</x:v>
      </x:c>
      <x:c r="AE6" s="30" t="n">
        <x:v>0.1271186440677966</x:v>
      </x:c>
      <x:c r="AF6" s="48" t="n">
        <x:v>15</x:v>
      </x:c>
      <x:c r="AG6" s="48"/>
      <x:c r="AH6" s="48"/>
      <x:c r="AI6" s="48"/>
      <x:c r="AJ6" s="48"/>
      <x:c r="AK6" s="48"/>
      <x:c r="AL6" s="48"/>
      <x:c r="AM6" s="48"/>
      <x:c r="AN6" s="48"/>
      <x:c r="AO6" s="48"/>
      <x:c r="AP6" s="48"/>
      <x:c r="AQ6" s="48"/>
      <x:c r="AR6" s="48"/>
      <x:c r="AS6" s="48"/>
      <x:c r="AT6" s="48"/>
      <x:c r="AU6" s="48"/>
      <x:c r="AV6" s="48"/>
      <x:c r="AW6" s="48"/>
      <x:c r="AX6" s="48"/>
      <x:c r="AY6" s="48"/>
      <x:c r="AZ6" s="48"/>
      <x:c r="BA6" s="48"/>
      <x:c r="BB6" s="48"/>
      <x:c r="BC6" s="48"/>
      <x:c r="BD6" s="48"/>
    </x:row>
    <x:row r="7">
      <x:c r="A7" s="48" t="n">
        <x:v>1</x:v>
      </x:c>
      <x:c r="B7" s="48" t="n">
        <x:v>309</x:v>
      </x:c>
      <x:c r="C7" s="48" t="n">
        <x:v>118</x:v>
      </x:c>
      <x:c r="D7" s="48" t="n">
        <x:v>411</x:v>
      </x:c>
      <x:c r="E7" s="48" t="n">
        <x:v>411</x:v>
      </x:c>
      <x:c r="F7" s="48" t="n">
        <x:v>0</x:v>
      </x:c>
      <x:c r="G7" s="30" t="n">
        <x:v>1</x:v>
      </x:c>
      <x:c r="H7" s="48" t="n">
        <x:v>118</x:v>
      </x:c>
      <x:c r="I7" s="30" t="n">
        <x:v>1</x:v>
      </x:c>
      <x:c r="J7" s="30" t="n">
        <x:v>1</x:v>
      </x:c>
      <x:c r="K7" s="30" t="n">
        <x:v>1</x:v>
      </x:c>
      <x:c r="L7" s="30" t="n">
        <x:v>1</x:v>
      </x:c>
      <x:c r="M7" s="48" t="n">
        <x:v>1</x:v>
      </x:c>
      <x:c r="N7" s="48" t="n">
        <x:v>1070</x:v>
      </x:c>
      <x:c r="O7" s="30" t="n">
        <x:v>0.30902871342711846</x:v>
      </x:c>
      <x:c r="P7" s="30" t="n">
        <x:v>0.3833333333333333</x:v>
      </x:c>
      <x:c r="Q7" s="30" t="n">
        <x:v>1</x:v>
      </x:c>
      <x:c r="R7" s="30" t="n">
        <x:v>0</x:v>
      </x:c>
      <x:c r="S7" s="30" t="n">
        <x:v>0.4772687845364683</x:v>
      </x:c>
      <x:c r="T7" s="30" t="n">
        <x:v>0.14078864231776853</x:v>
      </x:c>
      <x:c r="U7" s="30" t="n">
        <x:v>0.6472491909385113</x:v>
      </x:c>
      <x:c r="V7" s="48" t="n">
        <x:v>118</x:v>
      </x:c>
      <x:c r="W7" s="30" t="n">
        <x:v>1.3653253748377714</x:v>
      </x:c>
      <x:c r="X7" s="30" t="n">
        <x:v>0.6804113538056187</x:v>
      </x:c>
      <x:c r="Y7" s="30" t="n">
        <x:v>1</x:v>
      </x:c>
      <x:c r="Z7" s="48" t="n">
        <x:v>118</x:v>
      </x:c>
      <x:c r="AA7" s="30" t="n">
        <x:v>0.3644067796610169</x:v>
      </x:c>
      <x:c r="AB7" s="48" t="n">
        <x:v>43</x:v>
      </x:c>
      <x:c r="AC7" s="30" t="n">
        <x:v>0.2033898305084746</x:v>
      </x:c>
      <x:c r="AD7" s="48" t="n">
        <x:v>24</x:v>
      </x:c>
      <x:c r="AE7" s="30" t="n">
        <x:v>0.1271186440677966</x:v>
      </x:c>
      <x:c r="AF7" s="48" t="n">
        <x:v>15</x:v>
      </x:c>
      <x:c r="AG7" s="48" t="n">
        <x:v>298</x:v>
      </x:c>
      <x:c r="AH7" s="48" t="n">
        <x:v>44</x:v>
      </x:c>
      <x:c r="AI7" s="48" t="n">
        <x:v>91</x:v>
      </x:c>
      <x:c r="AJ7" s="48" t="n">
        <x:v>16</x:v>
      </x:c>
      <x:c r="AK7" s="48" t="n">
        <x:v>14</x:v>
      </x:c>
      <x:c r="AL7" s="48" t="n">
        <x:v>28</x:v>
      </x:c>
      <x:c r="AM7" s="48" t="n">
        <x:v>105</x:v>
      </x:c>
      <x:c r="AN7" s="48" t="n">
        <x:v>11</x:v>
      </x:c>
      <x:c r="AO7" s="48" t="n">
        <x:v>11</x:v>
      </x:c>
      <x:c r="AP7" s="48" t="n">
        <x:v>44</x:v>
      </x:c>
      <x:c r="AQ7" s="48" t="n">
        <x:v>91</x:v>
      </x:c>
      <x:c r="AR7" s="48" t="n">
        <x:v>16</x:v>
      </x:c>
      <x:c r="AS7" s="48" t="n">
        <x:v>14</x:v>
      </x:c>
      <x:c r="AT7" s="48" t="n">
        <x:v>28</x:v>
      </x:c>
      <x:c r="AU7" s="48"/>
      <x:c r="AV7" s="48"/>
      <x:c r="AW7" s="48"/>
      <x:c r="AX7" s="48"/>
      <x:c r="AY7" s="48"/>
      <x:c r="AZ7" s="48"/>
      <x:c r="BA7" s="48"/>
      <x:c r="BB7" s="48"/>
      <x:c r="BC7" s="48"/>
      <x:c r="BD7" s="48"/>
    </x:row>
    <x:row r="8">
      <x:c r="A8" s="48" t="n">
        <x:v>2</x:v>
      </x:c>
      <x:c r="B8" s="48" t="n">
        <x:v>447</x:v>
      </x:c>
      <x:c r="C8" s="48" t="n">
        <x:v>118</x:v>
      </x:c>
      <x:c r="D8" s="48" t="n">
        <x:v>727</x:v>
      </x:c>
      <x:c r="E8" s="48" t="n">
        <x:v>727</x:v>
      </x:c>
      <x:c r="F8" s="48" t="n">
        <x:v>0</x:v>
      </x:c>
      <x:c r="G8" s="30" t="n">
        <x:v>1</x:v>
      </x:c>
      <x:c r="H8" s="48" t="n">
        <x:v>118</x:v>
      </x:c>
      <x:c r="I8" s="30" t="n">
        <x:v>1</x:v>
      </x:c>
      <x:c r="J8" s="30" t="n">
        <x:v>1</x:v>
      </x:c>
      <x:c r="K8" s="30" t="n">
        <x:v>1</x:v>
      </x:c>
      <x:c r="L8" s="30" t="n">
        <x:v>1</x:v>
      </x:c>
      <x:c r="M8" s="48" t="n">
        <x:v>1</x:v>
      </x:c>
      <x:c r="N8" s="48" t="n">
        <x:v>1070</x:v>
      </x:c>
      <x:c r="O8" s="30" t="n">
        <x:v>0.37524696642266153</x:v>
      </x:c>
      <x:c r="P8" s="30" t="n">
        <x:v>0.5</x:v>
      </x:c>
      <x:c r="Q8" s="30" t="n">
        <x:v>1</x:v>
      </x:c>
      <x:c r="R8" s="30" t="n">
        <x:v>0</x:v>
      </x:c>
      <x:c r="S8" s="30" t="n">
        <x:v>0.571223310353224</x:v>
      </x:c>
      <x:c r="T8" s="30" t="n">
        <x:v>0.179270622492099</x:v>
      </x:c>
      <x:c r="U8" s="30" t="n">
        <x:v>0.6219239373601789</x:v>
      </x:c>
      <x:c r="V8" s="48" t="n">
        <x:v>118</x:v>
      </x:c>
      <x:c r="W8" s="30" t="n">
        <x:v>1.324217391833289</x:v>
      </x:c>
      <x:c r="X8" s="30" t="n">
        <x:v>0.8510128314384611</x:v>
      </x:c>
      <x:c r="Y8" s="30" t="n">
        <x:v>1</x:v>
      </x:c>
      <x:c r="Z8" s="48" t="n">
        <x:v>118</x:v>
      </x:c>
      <x:c r="AA8" s="30" t="n">
        <x:v>0.6694915254237288</x:v>
      </x:c>
      <x:c r="AB8" s="48" t="n">
        <x:v>79</x:v>
      </x:c>
      <x:c r="AC8" s="30" t="n">
        <x:v>0.423728813559322</x:v>
      </x:c>
      <x:c r="AD8" s="48" t="n">
        <x:v>50</x:v>
      </x:c>
      <x:c r="AE8" s="30" t="n">
        <x:v>0.2288135593220339</x:v>
      </x:c>
      <x:c r="AF8" s="48" t="n">
        <x:v>27</x:v>
      </x:c>
      <x:c r="AG8" s="48" t="n">
        <x:v>309</x:v>
      </x:c>
      <x:c r="AH8" s="48" t="n">
        <x:v>33</x:v>
      </x:c>
      <x:c r="AI8" s="48" t="n">
        <x:v>119</x:v>
      </x:c>
      <x:c r="AJ8" s="48" t="n">
        <x:v>20</x:v>
      </x:c>
      <x:c r="AK8" s="48" t="n">
        <x:v>15</x:v>
      </x:c>
      <x:c r="AL8" s="48" t="n">
        <x:v>26</x:v>
      </x:c>
      <x:c r="AM8" s="48" t="n">
        <x:v>96</x:v>
      </x:c>
      <x:c r="AN8" s="48" t="n">
        <x:v>11</x:v>
      </x:c>
      <x:c r="AO8" s="48" t="n">
        <x:v>11</x:v>
      </x:c>
      <x:c r="AP8" s="48"/>
      <x:c r="AQ8" s="48"/>
      <x:c r="AR8" s="48" t="n">
        <x:v>20</x:v>
      </x:c>
      <x:c r="AS8" s="48" t="n">
        <x:v>15</x:v>
      </x:c>
      <x:c r="AT8" s="48"/>
      <x:c r="AU8" s="48" t="n">
        <x:v>33</x:v>
      </x:c>
      <x:c r="AV8" s="48" t="n">
        <x:v>94</x:v>
      </x:c>
      <x:c r="AW8" s="48" t="n">
        <x:v>33</x:v>
      </x:c>
      <x:c r="AX8" s="48" t="n">
        <x:v>94</x:v>
      </x:c>
      <x:c r="AY8" s="48"/>
      <x:c r="AZ8" s="48"/>
      <x:c r="BA8" s="48"/>
      <x:c r="BB8" s="48"/>
      <x:c r="BC8" s="48"/>
      <x:c r="BD8" s="48"/>
    </x:row>
    <x:row r="9">
      <x:c r="A9" s="48" t="n">
        <x:v>3</x:v>
      </x:c>
      <x:c r="B9" s="48" t="n">
        <x:v>468</x:v>
      </x:c>
      <x:c r="C9" s="48" t="n">
        <x:v>118</x:v>
      </x:c>
      <x:c r="D9" s="48" t="n">
        <x:v>1017</x:v>
      </x:c>
      <x:c r="E9" s="48" t="n">
        <x:v>1017</x:v>
      </x:c>
      <x:c r="F9" s="48" t="n">
        <x:v>0</x:v>
      </x:c>
      <x:c r="G9" s="30" t="n">
        <x:v>1</x:v>
      </x:c>
      <x:c r="H9" s="48" t="n">
        <x:v>107</x:v>
      </x:c>
      <x:c r="I9" s="30" t="n">
        <x:v>0.9067796610169492</x:v>
      </x:c>
      <x:c r="J9" s="30" t="n">
        <x:v>0.9067796610169492</x:v>
      </x:c>
      <x:c r="K9" s="30" t="n">
        <x:v>1</x:v>
      </x:c>
      <x:c r="L9" s="30" t="n">
        <x:v>0.9511111111111111</x:v>
      </x:c>
      <x:c r="M9" s="48" t="n">
        <x:v>1</x:v>
      </x:c>
      <x:c r="N9" s="48" t="n">
        <x:v>971</x:v>
      </x:c>
      <x:c r="O9" s="30" t="n">
        <x:v>0.5114319994379518</x:v>
      </x:c>
      <x:c r="P9" s="30" t="n">
        <x:v>0.5</x:v>
      </x:c>
      <x:c r="Q9" s="30" t="n">
        <x:v>1</x:v>
      </x:c>
      <x:c r="R9" s="30" t="n">
        <x:v>0.14285714285714285</x:v>
      </x:c>
      <x:c r="S9" s="30" t="n">
        <x:v>0.770572162625734</x:v>
      </x:c>
      <x:c r="T9" s="30" t="n">
        <x:v>0.2522918362501696</x:v>
      </x:c>
      <x:c r="U9" s="30" t="n">
        <x:v>0.6602564102564102</x:v>
      </x:c>
      <x:c r="V9" s="48" t="n">
        <x:v>107</x:v>
      </x:c>
      <x:c r="W9" s="30" t="n">
        <x:v>1.3086507443276352</x:v>
      </x:c>
      <x:c r="X9" s="30" t="n">
        <x:v>0.9296487480242415</x:v>
      </x:c>
      <x:c r="Y9" s="30" t="n">
        <x:v>0.9067796610169492</x:v>
      </x:c>
      <x:c r="Z9" s="48" t="n">
        <x:v>107</x:v>
      </x:c>
      <x:c r="AA9" s="30" t="n">
        <x:v>0.8135593220338984</x:v>
      </x:c>
      <x:c r="AB9" s="48" t="n">
        <x:v>96</x:v>
      </x:c>
      <x:c r="AC9" s="30" t="n">
        <x:v>0.6186440677966102</x:v>
      </x:c>
      <x:c r="AD9" s="48" t="n">
        <x:v>73</x:v>
      </x:c>
      <x:c r="AE9" s="30" t="n">
        <x:v>0.3050847457627119</x:v>
      </x:c>
      <x:c r="AF9" s="48" t="n">
        <x:v>36</x:v>
      </x:c>
      <x:c r="AG9" s="48" t="n">
        <x:v>447</x:v>
      </x:c>
      <x:c r="AH9" s="48" t="n">
        <x:v>35</x:v>
      </x:c>
      <x:c r="AI9" s="48" t="n">
        <x:v>149</x:v>
      </x:c>
      <x:c r="AJ9" s="48" t="n">
        <x:v>19</x:v>
      </x:c>
      <x:c r="AK9" s="48" t="n">
        <x:v>21</x:v>
      </x:c>
      <x:c r="AL9" s="48" t="n">
        <x:v>61</x:v>
      </x:c>
      <x:c r="AM9" s="48" t="n">
        <x:v>162</x:v>
      </x:c>
      <x:c r="AN9" s="48" t="n">
        <x:v>11</x:v>
      </x:c>
      <x:c r="AO9" s="48" t="n">
        <x:v>11</x:v>
      </x:c>
      <x:c r="AP9" s="48"/>
      <x:c r="AQ9" s="48"/>
      <x:c r="AR9" s="48" t="n">
        <x:v>19</x:v>
      </x:c>
      <x:c r="AS9" s="48" t="n">
        <x:v>21</x:v>
      </x:c>
      <x:c r="AT9" s="48"/>
      <x:c r="AU9" s="48" t="n">
        <x:v>35</x:v>
      </x:c>
      <x:c r="AV9" s="48" t="n">
        <x:v>98</x:v>
      </x:c>
      <x:c r="AW9" s="48" t="n">
        <x:v>35</x:v>
      </x:c>
      <x:c r="AX9" s="48" t="n">
        <x:v>98</x:v>
      </x:c>
      <x:c r="AY9" s="48" t="n">
        <x:v>3</x:v>
      </x:c>
      <x:c r="AZ9" s="48" t="n">
        <x:v>3</x:v>
      </x:c>
      <x:c r="BA9" s="48"/>
      <x:c r="BB9" s="48"/>
      <x:c r="BC9" s="48"/>
      <x:c r="BD9" s="48"/>
    </x:row>
    <x:row r="10">
      <x:c r="A10" s="48" t="n">
        <x:v>46</x:v>
      </x:c>
      <x:c r="B10" s="48" t="n">
        <x:v>3163</x:v>
      </x:c>
      <x:c r="C10" s="48" t="n">
        <x:v>118</x:v>
      </x:c>
      <x:c r="D10" s="48" t="n">
        <x:v>7442</x:v>
      </x:c>
      <x:c r="E10" s="48" t="n">
        <x:v>7442</x:v>
      </x:c>
      <x:c r="F10" s="48" t="n">
        <x:v>0</x:v>
      </x:c>
      <x:c r="G10" s="30" t="n">
        <x:v>1</x:v>
      </x:c>
      <x:c r="H10" s="48" t="n">
        <x:v>37</x:v>
      </x:c>
      <x:c r="I10" s="30" t="n">
        <x:v>0.3135593220338983</x:v>
      </x:c>
      <x:c r="J10" s="30" t="n">
        <x:v>0.3135593220338983</x:v>
      </x:c>
      <x:c r="K10" s="30" t="n">
        <x:v>1</x:v>
      </x:c>
      <x:c r="L10" s="30" t="n">
        <x:v>0.4774193548387097</x:v>
      </x:c>
      <x:c r="M10" s="48" t="n">
        <x:v>1</x:v>
      </x:c>
      <x:c r="N10" s="48" t="n">
        <x:v>291</x:v>
      </x:c>
      <x:c r="O10" s="30" t="n">
        <x:v>0.9660601498476933</x:v>
      </x:c>
      <x:c r="P10" s="30" t="n">
        <x:v>1</x:v>
      </x:c>
      <x:c r="Q10" s="30" t="n">
        <x:v>1</x:v>
      </x:c>
      <x:c r="R10" s="30" t="n">
        <x:v>0.3944444444444444</x:v>
      </x:c>
      <x:c r="S10" s="30" t="n">
        <x:v>0.9466309611630509</x:v>
      </x:c>
      <x:c r="T10" s="30" t="n">
        <x:v>0.9854893385323357</x:v>
      </x:c>
      <x:c r="U10" s="30" t="n">
        <x:v>0.08030350932658868</x:v>
      </x:c>
      <x:c r="V10" s="48" t="n">
        <x:v>37</x:v>
      </x:c>
      <x:c r="W10" s="30" t="n">
        <x:v>1.3766710168678646</x:v>
      </x:c>
      <x:c r="X10" s="30" t="n">
        <x:v>0.27985578490834034</x:v>
      </x:c>
      <x:c r="Y10" s="30" t="n">
        <x:v>0.3135593220338983</x:v>
      </x:c>
      <x:c r="Z10" s="48" t="n">
        <x:v>37</x:v>
      </x:c>
      <x:c r="AA10" s="30" t="n">
        <x:v>0.2711864406779661</x:v>
      </x:c>
      <x:c r="AB10" s="48" t="n">
        <x:v>32</x:v>
      </x:c>
      <x:c r="AC10" s="30" t="n">
        <x:v>0.2288135593220339</x:v>
      </x:c>
      <x:c r="AD10" s="48" t="n">
        <x:v>27</x:v>
      </x:c>
      <x:c r="AE10" s="30" t="n">
        <x:v>0.2033898305084746</x:v>
      </x:c>
      <x:c r="AF10" s="48" t="n">
        <x:v>24</x:v>
      </x:c>
      <x:c r="AG10" s="48" t="n">
        <x:v>1000</x:v>
      </x:c>
      <x:c r="AH10" s="48" t="n">
        <x:v>94</x:v>
      </x:c>
      <x:c r="AI10" s="48" t="n">
        <x:v>340</x:v>
      </x:c>
      <x:c r="AJ10" s="48" t="n">
        <x:v>57</x:v>
      </x:c>
      <x:c r="AK10" s="48" t="n">
        <x:v>48</x:v>
      </x:c>
      <x:c r="AL10" s="48" t="n">
        <x:v>101</x:v>
      </x:c>
      <x:c r="AM10" s="48" t="n">
        <x:v>360</x:v>
      </x:c>
      <x:c r="AN10" s="48" t="n">
        <x:v>35</x:v>
      </x:c>
      <x:c r="AO10" s="48" t="n">
        <x:v>35</x:v>
      </x:c>
      <x:c r="AP10" s="48"/>
      <x:c r="AQ10" s="48"/>
      <x:c r="AR10" s="48"/>
      <x:c r="AS10" s="48" t="n">
        <x:v>28</x:v>
      </x:c>
      <x:c r="AT10" s="48"/>
      <x:c r="AU10" s="48" t="n">
        <x:v>94</x:v>
      </x:c>
      <x:c r="AV10" s="48" t="n">
        <x:v>244</x:v>
      </x:c>
      <x:c r="AW10" s="48" t="n">
        <x:v>94</x:v>
      </x:c>
      <x:c r="AX10" s="48" t="n">
        <x:v>244</x:v>
      </x:c>
      <x:c r="AY10" s="48" t="n">
        <x:v>10</x:v>
      </x:c>
      <x:c r="AZ10" s="48" t="n">
        <x:v>10</x:v>
      </x:c>
      <x:c r="BA10" s="48" t="n">
        <x:v>57</x:v>
      </x:c>
      <x:c r="BB10" s="48" t="n">
        <x:v>114</x:v>
      </x:c>
      <x:c r="BC10" s="48" t="n">
        <x:v>20</x:v>
      </x:c>
      <x:c r="BD10" s="48" t="n">
        <x:v>40</x:v>
      </x:c>
    </x:row>
    <x:row r="11">
      <x:c r="A11" s="48" t="n">
        <x:v>47</x:v>
      </x:c>
      <x:c r="B11" s="48" t="n">
        <x:v>3220</x:v>
      </x:c>
      <x:c r="C11" s="48" t="n">
        <x:v>118</x:v>
      </x:c>
      <x:c r="D11" s="48" t="n">
        <x:v>7558</x:v>
      </x:c>
      <x:c r="E11" s="48" t="n">
        <x:v>7558</x:v>
      </x:c>
      <x:c r="F11" s="48" t="n">
        <x:v>0</x:v>
      </x:c>
      <x:c r="G11" s="30" t="n">
        <x:v>1</x:v>
      </x:c>
      <x:c r="H11" s="48" t="n">
        <x:v>36</x:v>
      </x:c>
      <x:c r="I11" s="30" t="n">
        <x:v>0.3050847457627119</x:v>
      </x:c>
      <x:c r="J11" s="30" t="n">
        <x:v>0.3050847457627119</x:v>
      </x:c>
      <x:c r="K11" s="30" t="n">
        <x:v>1</x:v>
      </x:c>
      <x:c r="L11" s="30" t="n">
        <x:v>0.4675324675324675</x:v>
      </x:c>
      <x:c r="M11" s="48" t="n">
        <x:v>1</x:v>
      </x:c>
      <x:c r="N11" s="48" t="n">
        <x:v>284</x:v>
      </x:c>
      <x:c r="O11" s="30" t="n">
        <x:v>0.9680995390909987</x:v>
      </x:c>
      <x:c r="P11" s="30" t="n">
        <x:v>1</x:v>
      </x:c>
      <x:c r="Q11" s="30" t="n">
        <x:v>1</x:v>
      </x:c>
      <x:c r="R11" s="30" t="n">
        <x:v>0.4975</x:v>
      </x:c>
      <x:c r="S11" s="30" t="n">
        <x:v>0.9474715074435571</x:v>
      </x:c>
      <x:c r="T11" s="30" t="n">
        <x:v>0.9887275707384402</x:v>
      </x:c>
      <x:c r="U11" s="30" t="n">
        <x:v>0.07701863354037267</x:v>
      </x:c>
      <x:c r="V11" s="48" t="n">
        <x:v>36</x:v>
      </x:c>
      <x:c r="W11" s="30" t="n">
        <x:v>1.368052799974124</x:v>
      </x:c>
      <x:c r="X11" s="30" t="n">
        <x:v>0.25528786567072836</x:v>
      </x:c>
      <x:c r="Y11" s="30" t="n">
        <x:v>0.3050847457627119</x:v>
      </x:c>
      <x:c r="Z11" s="48" t="n">
        <x:v>36</x:v>
      </x:c>
      <x:c r="AA11" s="30" t="n">
        <x:v>0.2627118644067797</x:v>
      </x:c>
      <x:c r="AB11" s="48" t="n">
        <x:v>31</x:v>
      </x:c>
      <x:c r="AC11" s="30" t="n">
        <x:v>0.2288135593220339</x:v>
      </x:c>
      <x:c r="AD11" s="48" t="n">
        <x:v>27</x:v>
      </x:c>
      <x:c r="AE11" s="30" t="n">
        <x:v>0.2033898305084746</x:v>
      </x:c>
      <x:c r="AF11" s="48" t="n">
        <x:v>24</x:v>
      </x:c>
      <x:c r="AG11" s="48" t="n">
        <x:v>1000</x:v>
      </x:c>
      <x:c r="AH11" s="48" t="n">
        <x:v>110</x:v>
      </x:c>
      <x:c r="AI11" s="48" t="n">
        <x:v>329</x:v>
      </x:c>
      <x:c r="AJ11" s="48" t="n">
        <x:v>62</x:v>
      </x:c>
      <x:c r="AK11" s="48" t="n">
        <x:v>59</x:v>
      </x:c>
      <x:c r="AL11" s="48" t="n">
        <x:v>94</x:v>
      </x:c>
      <x:c r="AM11" s="48" t="n">
        <x:v>346</x:v>
      </x:c>
      <x:c r="AN11" s="48" t="n">
        <x:v>29</x:v>
      </x:c>
      <x:c r="AO11" s="48" t="n">
        <x:v>29</x:v>
      </x:c>
      <x:c r="AP11" s="48"/>
      <x:c r="AQ11" s="48"/>
      <x:c r="AR11" s="48"/>
      <x:c r="AS11" s="48" t="n">
        <x:v>23</x:v>
      </x:c>
      <x:c r="AT11" s="48"/>
      <x:c r="AU11" s="48" t="n">
        <x:v>110</x:v>
      </x:c>
      <x:c r="AV11" s="48" t="n">
        <x:v>242</x:v>
      </x:c>
      <x:c r="AW11" s="48" t="n">
        <x:v>110</x:v>
      </x:c>
      <x:c r="AX11" s="48" t="n">
        <x:v>242</x:v>
      </x:c>
      <x:c r="AY11" s="48" t="n">
        <x:v>12</x:v>
      </x:c>
      <x:c r="AZ11" s="48" t="n">
        <x:v>12</x:v>
      </x:c>
      <x:c r="BA11" s="48" t="n">
        <x:v>62</x:v>
      </x:c>
      <x:c r="BB11" s="48" t="n">
        <x:v>124</x:v>
      </x:c>
      <x:c r="BC11" s="48" t="n">
        <x:v>36</x:v>
      </x:c>
      <x:c r="BD11" s="48" t="n">
        <x:v>72</x:v>
      </x:c>
    </x:row>
    <x:row r="12">
      <x:c r="A12" s="48" t="n">
        <x:v>48</x:v>
      </x:c>
      <x:c r="B12" s="48" t="n">
        <x:v>3227</x:v>
      </x:c>
      <x:c r="C12" s="48" t="n">
        <x:v>118</x:v>
      </x:c>
      <x:c r="D12" s="48" t="n">
        <x:v>7568</x:v>
      </x:c>
      <x:c r="E12" s="48" t="n">
        <x:v>7568</x:v>
      </x:c>
      <x:c r="F12" s="48" t="n">
        <x:v>0</x:v>
      </x:c>
      <x:c r="G12" s="30" t="n">
        <x:v>1</x:v>
      </x:c>
      <x:c r="H12" s="48" t="n">
        <x:v>34</x:v>
      </x:c>
      <x:c r="I12" s="30" t="n">
        <x:v>0.288135593220339</x:v>
      </x:c>
      <x:c r="J12" s="30" t="n">
        <x:v>0.288135593220339</x:v>
      </x:c>
      <x:c r="K12" s="30" t="n">
        <x:v>1</x:v>
      </x:c>
      <x:c r="L12" s="30" t="n">
        <x:v>0.4473684210526315</x:v>
      </x:c>
      <x:c r="M12" s="48" t="n">
        <x:v>1</x:v>
      </x:c>
      <x:c r="N12" s="48" t="n">
        <x:v>253</x:v>
      </x:c>
      <x:c r="O12" s="30" t="n">
        <x:v>0.969497192586362</x:v>
      </x:c>
      <x:c r="P12" s="30" t="n">
        <x:v>1</x:v>
      </x:c>
      <x:c r="Q12" s="30" t="n">
        <x:v>1</x:v>
      </x:c>
      <x:c r="R12" s="30" t="n">
        <x:v>0.4975</x:v>
      </x:c>
      <x:c r="S12" s="30" t="n">
        <x:v>0.9486503263633725</x:v>
      </x:c>
      <x:c r="T12" s="30" t="n">
        <x:v>0.9903440588093516</x:v>
      </x:c>
      <x:c r="U12" s="30" t="n">
        <x:v>0.07747133560582585</x:v>
      </x:c>
      <x:c r="V12" s="48" t="n">
        <x:v>34</x:v>
      </x:c>
      <x:c r="W12" s="30" t="n">
        <x:v>1.363290643547744</x:v>
      </x:c>
      <x:c r="X12" s="30" t="n">
        <x:v>0.2522410469372457</x:v>
      </x:c>
      <x:c r="Y12" s="30" t="n">
        <x:v>0.288135593220339</x:v>
      </x:c>
      <x:c r="Z12" s="48" t="n">
        <x:v>34</x:v>
      </x:c>
      <x:c r="AA12" s="30" t="n">
        <x:v>0.2457627118644068</x:v>
      </x:c>
      <x:c r="AB12" s="48" t="n">
        <x:v>29</x:v>
      </x:c>
      <x:c r="AC12" s="30" t="n">
        <x:v>0.2033898305084746</x:v>
      </x:c>
      <x:c r="AD12" s="48" t="n">
        <x:v>24</x:v>
      </x:c>
      <x:c r="AE12" s="30" t="n">
        <x:v>0.2033898305084746</x:v>
      </x:c>
      <x:c r="AF12" s="48" t="n">
        <x:v>24</x:v>
      </x:c>
      <x:c r="AG12" s="48" t="n">
        <x:v>1000</x:v>
      </x:c>
      <x:c r="AH12" s="48" t="n">
        <x:v>102</x:v>
      </x:c>
      <x:c r="AI12" s="48" t="n">
        <x:v>360</x:v>
      </x:c>
      <x:c r="AJ12" s="48" t="n">
        <x:v>42</x:v>
      </x:c>
      <x:c r="AK12" s="48" t="n">
        <x:v>55</x:v>
      </x:c>
      <x:c r="AL12" s="48" t="n">
        <x:v>99</x:v>
      </x:c>
      <x:c r="AM12" s="48" t="n">
        <x:v>342</x:v>
      </x:c>
      <x:c r="AN12" s="48" t="n">
        <x:v>34</x:v>
      </x:c>
      <x:c r="AO12" s="48" t="n">
        <x:v>34</x:v>
      </x:c>
      <x:c r="AP12" s="48"/>
      <x:c r="AQ12" s="48"/>
      <x:c r="AR12" s="48"/>
      <x:c r="AS12" s="48" t="n">
        <x:v>29</x:v>
      </x:c>
      <x:c r="AT12" s="48"/>
      <x:c r="AU12" s="48" t="n">
        <x:v>102</x:v>
      </x:c>
      <x:c r="AV12" s="48" t="n">
        <x:v>248</x:v>
      </x:c>
      <x:c r="AW12" s="48" t="n">
        <x:v>102</x:v>
      </x:c>
      <x:c r="AX12" s="48" t="n">
        <x:v>248</x:v>
      </x:c>
      <x:c r="AY12" s="48" t="n">
        <x:v>15</x:v>
      </x:c>
      <x:c r="AZ12" s="48" t="n">
        <x:v>15</x:v>
      </x:c>
      <x:c r="BA12" s="48" t="n">
        <x:v>42</x:v>
      </x:c>
      <x:c r="BB12" s="48" t="n">
        <x:v>84</x:v>
      </x:c>
      <x:c r="BC12" s="48" t="n">
        <x:v>26</x:v>
      </x:c>
      <x:c r="BD12" s="48" t="n">
        <x:v>52</x:v>
      </x:c>
    </x:row>
    <x:row r="13">
      <x:c r="A13" s="48" t="n">
        <x:v>49</x:v>
      </x:c>
      <x:c r="B13" s="48" t="n">
        <x:v>3194</x:v>
      </x:c>
      <x:c r="C13" s="48" t="n">
        <x:v>118</x:v>
      </x:c>
      <x:c r="D13" s="48" t="n">
        <x:v>7489</x:v>
      </x:c>
      <x:c r="E13" s="48" t="n">
        <x:v>7489</x:v>
      </x:c>
      <x:c r="F13" s="48" t="n">
        <x:v>0</x:v>
      </x:c>
      <x:c r="G13" s="30" t="n">
        <x:v>1</x:v>
      </x:c>
      <x:c r="H13" s="48" t="n">
        <x:v>29</x:v>
      </x:c>
      <x:c r="I13" s="30" t="n">
        <x:v>0.2457627118644068</x:v>
      </x:c>
      <x:c r="J13" s="30" t="n">
        <x:v>0.2457627118644068</x:v>
      </x:c>
      <x:c r="K13" s="30" t="n">
        <x:v>1</x:v>
      </x:c>
      <x:c r="L13" s="30" t="n">
        <x:v>0.3945578231292517</x:v>
      </x:c>
      <x:c r="M13" s="48" t="n">
        <x:v>1</x:v>
      </x:c>
      <x:c r="N13" s="48" t="n">
        <x:v>203</x:v>
      </x:c>
      <x:c r="O13" s="30" t="n">
        <x:v>0.9704581072149169</x:v>
      </x:c>
      <x:c r="P13" s="30" t="n">
        <x:v>1</x:v>
      </x:c>
      <x:c r="Q13" s="30" t="n">
        <x:v>1</x:v>
      </x:c>
      <x:c r="R13" s="30" t="n">
        <x:v>0.5</x:v>
      </x:c>
      <x:c r="S13" s="30" t="n">
        <x:v>0.9492091073540666</x:v>
      </x:c>
      <x:c r="T13" s="30" t="n">
        <x:v>0.991707107075767</x:v>
      </x:c>
      <x:c r="U13" s="30" t="n">
        <x:v>0.07733249843456481</x:v>
      </x:c>
      <x:c r="V13" s="48" t="n">
        <x:v>29</x:v>
      </x:c>
      <x:c r="W13" s="30" t="n">
        <x:v>1.3646223874072736</x:v>
      </x:c>
      <x:c r="X13" s="30" t="n">
        <x:v>0.24194624914956248</x:v>
      </x:c>
      <x:c r="Y13" s="30" t="n">
        <x:v>0.2457627118644068</x:v>
      </x:c>
      <x:c r="Z13" s="48" t="n">
        <x:v>29</x:v>
      </x:c>
      <x:c r="AA13" s="30" t="n">
        <x:v>0.23728813559322035</x:v>
      </x:c>
      <x:c r="AB13" s="48" t="n">
        <x:v>28</x:v>
      </x:c>
      <x:c r="AC13" s="30" t="n">
        <x:v>0.22033898305084745</x:v>
      </x:c>
      <x:c r="AD13" s="48" t="n">
        <x:v>26</x:v>
      </x:c>
      <x:c r="AE13" s="30" t="n">
        <x:v>0.2033898305084746</x:v>
      </x:c>
      <x:c r="AF13" s="48" t="n">
        <x:v>24</x:v>
      </x:c>
      <x:c r="AG13" s="48" t="n">
        <x:v>1000</x:v>
      </x:c>
      <x:c r="AH13" s="48" t="n">
        <x:v>109</x:v>
      </x:c>
      <x:c r="AI13" s="48" t="n">
        <x:v>326</x:v>
      </x:c>
      <x:c r="AJ13" s="48" t="n">
        <x:v>47</x:v>
      </x:c>
      <x:c r="AK13" s="48" t="n">
        <x:v>68</x:v>
      </x:c>
      <x:c r="AL13" s="48" t="n">
        <x:v>99</x:v>
      </x:c>
      <x:c r="AM13" s="48" t="n">
        <x:v>351</x:v>
      </x:c>
      <x:c r="AN13" s="48" t="n">
        <x:v>31</x:v>
      </x:c>
      <x:c r="AO13" s="48" t="n">
        <x:v>31</x:v>
      </x:c>
      <x:c r="AP13" s="48"/>
      <x:c r="AQ13" s="48"/>
      <x:c r="AR13" s="48"/>
      <x:c r="AS13" s="48" t="n">
        <x:v>31</x:v>
      </x:c>
      <x:c r="AT13" s="48"/>
      <x:c r="AU13" s="48" t="n">
        <x:v>109</x:v>
      </x:c>
      <x:c r="AV13" s="48" t="n">
        <x:v>224</x:v>
      </x:c>
      <x:c r="AW13" s="48" t="n">
        <x:v>109</x:v>
      </x:c>
      <x:c r="AX13" s="48" t="n">
        <x:v>224</x:v>
      </x:c>
      <x:c r="AY13" s="48" t="n">
        <x:v>8</x:v>
      </x:c>
      <x:c r="AZ13" s="48" t="n">
        <x:v>8</x:v>
      </x:c>
      <x:c r="BA13" s="48" t="n">
        <x:v>47</x:v>
      </x:c>
      <x:c r="BB13" s="48" t="n">
        <x:v>94</x:v>
      </x:c>
      <x:c r="BC13" s="48" t="n">
        <x:v>37</x:v>
      </x:c>
      <x:c r="BD13" s="48" t="n">
        <x:v>74</x:v>
      </x:c>
    </x:row>
    <x:row r="14">
      <x:c r="A14" s="48" t="n">
        <x:v>50</x:v>
      </x:c>
      <x:c r="B14" s="48" t="n">
        <x:v>3156</x:v>
      </x:c>
      <x:c r="C14" s="48" t="n">
        <x:v>118</x:v>
      </x:c>
      <x:c r="D14" s="48" t="n">
        <x:v>7453</x:v>
      </x:c>
      <x:c r="E14" s="48" t="n">
        <x:v>7453</x:v>
      </x:c>
      <x:c r="F14" s="48" t="n">
        <x:v>0</x:v>
      </x:c>
      <x:c r="G14" s="30" t="n">
        <x:v>1</x:v>
      </x:c>
      <x:c r="H14" s="48" t="n">
        <x:v>30</x:v>
      </x:c>
      <x:c r="I14" s="30" t="n">
        <x:v>0.2542372881355932</x:v>
      </x:c>
      <x:c r="J14" s="30" t="n">
        <x:v>0.2542372881355932</x:v>
      </x:c>
      <x:c r="K14" s="30" t="n">
        <x:v>1</x:v>
      </x:c>
      <x:c r="L14" s="30" t="n">
        <x:v>0.4054054054054054</x:v>
      </x:c>
      <x:c r="M14" s="48" t="n">
        <x:v>1</x:v>
      </x:c>
      <x:c r="N14" s="48" t="n">
        <x:v>225</x:v>
      </x:c>
      <x:c r="O14" s="30" t="n">
        <x:v>0.9699889603074014</x:v>
      </x:c>
      <x:c r="P14" s="30" t="n">
        <x:v>1</x:v>
      </x:c>
      <x:c r="Q14" s="30" t="n">
        <x:v>1</x:v>
      </x:c>
      <x:c r="R14" s="30" t="n">
        <x:v>0.5</x:v>
      </x:c>
      <x:c r="S14" s="30" t="n">
        <x:v>0.948197713601706</x:v>
      </x:c>
      <x:c r="T14" s="30" t="n">
        <x:v>0.9917802070130968</x:v>
      </x:c>
      <x:c r="U14" s="30" t="n">
        <x:v>0.0779467680608365</x:v>
      </x:c>
      <x:c r="V14" s="48" t="n">
        <x:v>30</x:v>
      </x:c>
      <x:c r="W14" s="30" t="n">
        <x:v>1.3696408664211606</x:v>
      </x:c>
      <x:c r="X14" s="30" t="n">
        <x:v>0.22994979558074366</x:v>
      </x:c>
      <x:c r="Y14" s="30" t="n">
        <x:v>0.2542372881355932</x:v>
      </x:c>
      <x:c r="Z14" s="48" t="n">
        <x:v>30</x:v>
      </x:c>
      <x:c r="AA14" s="30" t="n">
        <x:v>0.2457627118644068</x:v>
      </x:c>
      <x:c r="AB14" s="48" t="n">
        <x:v>29</x:v>
      </x:c>
      <x:c r="AC14" s="30" t="n">
        <x:v>0.23728813559322035</x:v>
      </x:c>
      <x:c r="AD14" s="48" t="n">
        <x:v>28</x:v>
      </x:c>
      <x:c r="AE14" s="30" t="n">
        <x:v>0.2033898305084746</x:v>
      </x:c>
      <x:c r="AF14" s="48" t="n">
        <x:v>24</x:v>
      </x:c>
      <x:c r="AG14" s="48" t="n">
        <x:v>1000</x:v>
      </x:c>
      <x:c r="AH14" s="48" t="n">
        <x:v>100</x:v>
      </x:c>
      <x:c r="AI14" s="48" t="n">
        <x:v>352</x:v>
      </x:c>
      <x:c r="AJ14" s="48" t="n">
        <x:v>56</x:v>
      </x:c>
      <x:c r="AK14" s="48" t="n">
        <x:v>40</x:v>
      </x:c>
      <x:c r="AL14" s="48" t="n">
        <x:v>89</x:v>
      </x:c>
      <x:c r="AM14" s="48" t="n">
        <x:v>363</x:v>
      </x:c>
      <x:c r="AN14" s="48" t="n">
        <x:v>40</x:v>
      </x:c>
      <x:c r="AO14" s="48" t="n">
        <x:v>40</x:v>
      </x:c>
      <x:c r="AP14" s="48"/>
      <x:c r="AQ14" s="48"/>
      <x:c r="AR14" s="48"/>
      <x:c r="AS14" s="48" t="n">
        <x:v>18</x:v>
      </x:c>
      <x:c r="AT14" s="48"/>
      <x:c r="AU14" s="48" t="n">
        <x:v>100</x:v>
      </x:c>
      <x:c r="AV14" s="48" t="n">
        <x:v>245</x:v>
      </x:c>
      <x:c r="AW14" s="48" t="n">
        <x:v>100</x:v>
      </x:c>
      <x:c r="AX14" s="48" t="n">
        <x:v>245</x:v>
      </x:c>
      <x:c r="AY14" s="48" t="n">
        <x:v>16</x:v>
      </x:c>
      <x:c r="AZ14" s="48" t="n">
        <x:v>16</x:v>
      </x:c>
      <x:c r="BA14" s="48" t="n">
        <x:v>56</x:v>
      </x:c>
      <x:c r="BB14" s="48" t="n">
        <x:v>112</x:v>
      </x:c>
      <x:c r="BC14" s="48" t="n">
        <x:v>22</x:v>
      </x:c>
      <x:c r="BD14" s="48" t="n">
        <x:v>44</x:v>
      </x:c>
    </x:row>
  </x:sheetData>
  <x:mergeCells>
    <x:mergeCell ref="A1:BD2"/>
    <x:mergeCell ref="A3:B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4" hidden="0" customWidth="1"/>
  </x:cols>
  <x:sheetData>
    <x:row r="1">
      <x:c r="A1" s="5" t="str">
        <x:v>G0 vs G50 — numeric change summary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0" t="str">
        <x:v>Metric</x:v>
      </x:c>
      <x:c r="B4" s="20" t="str">
        <x:v>G0</x:v>
      </x:c>
      <x:c r="C4" s="20" t="str">
        <x:v>G50</x:v>
      </x:c>
      <x:c r="D4" s="20" t="str">
        <x:v>Absolute Δ</x:v>
      </x:c>
      <x:c r="E4" s="20" t="str">
        <x:v>Relative Δ</x:v>
      </x:c>
      <x:c r="F4" s="20" t="str">
        <x:v>Interpretation</x:v>
      </x:c>
    </x:row>
    <x:row r="5">
      <x:c r="A5" t="str">
        <x:v>Population size</x:v>
      </x:c>
      <x:c r="B5" s="30" t="n">
        <x:v>298</x:v>
      </x:c>
      <x:c r="C5" s="30" t="n">
        <x:v>3156</x:v>
      </x:c>
      <x:c r="D5" s="30" t="n">
        <x:f>C5-B5</x:f>
        <x:v>2858</x:v>
      </x:c>
      <x:c r="E5" s="50" t="n">
        <x:f>IF(B5=0,"",D5/B5)</x:f>
        <x:v>9.590604026845638</x:v>
      </x:c>
      <x:c r="F5" s="40" t="str">
        <x:v>Strong population expansion</x:v>
      </x:c>
    </x:row>
    <x:row r="6">
      <x:c r="A6" t="str">
        <x:v>Mean micro fitness</x:v>
      </x:c>
      <x:c r="B6" s="30" t="n">
        <x:v>0.3014201536319226</x:v>
      </x:c>
      <x:c r="C6" s="30" t="n">
        <x:v>0.9699889603074014</x:v>
      </x:c>
      <x:c r="D6" s="30" t="n">
        <x:f>C6-B6</x:f>
        <x:v>0.6685688066754789</x:v>
      </x:c>
      <x:c r="E6" s="50" t="n">
        <x:f>IF(B6=0,"",D6/B6)</x:f>
        <x:v>2.218062722812814</x:v>
      </x:c>
      <x:c r="F6" s="40" t="str">
        <x:v>Strong optimization gain</x:v>
      </x:c>
    </x:row>
    <x:row r="7">
      <x:c r="A7" t="str">
        <x:v>Mean Cohesion</x:v>
      </x:c>
      <x:c r="B7" s="30" t="n">
        <x:v>0.461049399625622</x:v>
      </x:c>
      <x:c r="C7" s="30" t="n">
        <x:v>0.948197713601706</x:v>
      </x:c>
      <x:c r="D7" s="30" t="n">
        <x:f>C7-B7</x:f>
        <x:v>0.487148313976084</x:v>
      </x:c>
      <x:c r="E7" s="50" t="n">
        <x:f>IF(B7=0,"",D7/B7)</x:f>
        <x:v>1.0566076311381267</x:v>
      </x:c>
      <x:c r="F7" s="40" t="str">
        <x:v>Strong gain</x:v>
      </x:c>
    </x:row>
    <x:row r="8">
      <x:c r="A8" t="str">
        <x:v>Mean Dependence</x:v>
      </x:c>
      <x:c r="B8" s="30" t="n">
        <x:v>0.14179090763822308</x:v>
      </x:c>
      <x:c r="C8" s="30" t="n">
        <x:v>0.9917802070130968</x:v>
      </x:c>
      <x:c r="D8" s="30" t="n">
        <x:f>C8-B8</x:f>
        <x:v>0.8499892993748737</x:v>
      </x:c>
      <x:c r="E8" s="50" t="n">
        <x:f>IF(B8=0,"",D8/B8)</x:f>
        <x:v>5.994667172479112</x:v>
      </x:c>
      <x:c r="F8" s="40" t="str">
        <x:v>Very strong gain</x:v>
      </x:c>
    </x:row>
    <x:row r="9">
      <x:c r="A9" t="str">
        <x:v>Covered reference concepts</x:v>
      </x:c>
      <x:c r="B9" s="30" t="n">
        <x:v>118</x:v>
      </x:c>
      <x:c r="C9" s="30" t="n">
        <x:v>30</x:v>
      </x:c>
      <x:c r="D9" s="30" t="n">
        <x:f>C9-B9</x:f>
        <x:v>-88</x:v>
      </x:c>
      <x:c r="E9" s="50" t="n">
        <x:f>IF(B9=0,"",D9/B9)</x:f>
        <x:v>-0.7457627118644068</x:v>
      </x:c>
      <x:c r="F9" s="40" t="str">
        <x:v>Large concept-coverage loss</x:v>
      </x:c>
    </x:row>
    <x:row r="10">
      <x:c r="A10" t="str">
        <x:v>Recall / Coverage Span</x:v>
      </x:c>
      <x:c r="B10" s="30" t="n">
        <x:v>1</x:v>
      </x:c>
      <x:c r="C10" s="30" t="n">
        <x:v>0.2542372881355932</x:v>
      </x:c>
      <x:c r="D10" s="30" t="n">
        <x:f>C10-B10</x:f>
        <x:v>-0.7457627118644068</x:v>
      </x:c>
      <x:c r="E10" s="50" t="n">
        <x:f>IF(B10=0,"",D10/B10)</x:f>
        <x:v>-0.7457627118644068</x:v>
      </x:c>
      <x:c r="F10" s="40" t="str">
        <x:v>Coverage collapse</x:v>
      </x:c>
    </x:row>
    <x:row r="11">
      <x:c r="A11" t="str">
        <x:v>Generation F1</x:v>
      </x:c>
      <x:c r="B11" s="30" t="n">
        <x:v>1</x:v>
      </x:c>
      <x:c r="C11" s="30" t="n">
        <x:v>0.4054054054054054</x:v>
      </x:c>
      <x:c r="D11" s="30" t="n">
        <x:f>C11-B11</x:f>
        <x:v>-0.5945945945945946</x:v>
      </x:c>
      <x:c r="E11" s="50" t="n">
        <x:f>IF(B11=0,"",D11/B11)</x:f>
        <x:v>-0.5945945945945946</x:v>
      </x:c>
      <x:c r="F11" s="40" t="str">
        <x:v>Driven mostly by Recall decline</x:v>
      </x:c>
    </x:row>
    <x:row r="12">
      <x:c r="A12" t="str">
        <x:v>Unique genome ratio</x:v>
      </x:c>
      <x:c r="B12" s="30" t="n">
        <x:v>0.6375838926174496</x:v>
      </x:c>
      <x:c r="C12" s="30" t="n">
        <x:v>0.0779467680608365</x:v>
      </x:c>
      <x:c r="D12" s="30" t="n">
        <x:f>C12-B12</x:f>
        <x:v>-0.5596371245566132</x:v>
      </x:c>
      <x:c r="E12" s="50" t="n">
        <x:f>IF(B12=0,"",D12/B12)</x:f>
        <x:v>-0.8777466479887933</x:v>
      </x:c>
      <x:c r="F12" s="40" t="str">
        <x:v>Active diversity collapse</x:v>
      </x:c>
    </x:row>
    <x:row r="13">
      <x:c r="A13" t="str">
        <x:v>Coverage Rate @1</x:v>
      </x:c>
      <x:c r="B13" s="30" t="n">
        <x:v>1</x:v>
      </x:c>
      <x:c r="C13" s="30" t="n">
        <x:v>0.2542372881355932</x:v>
      </x:c>
      <x:c r="D13" s="30" t="n">
        <x:f>C13-B13</x:f>
        <x:v>-0.7457627118644068</x:v>
      </x:c>
      <x:c r="E13" s="50" t="n">
        <x:f>IF(B13=0,"",D13/B13)</x:f>
        <x:v>-0.7457627118644068</x:v>
      </x:c>
      <x:c r="F13" s="40" t="str">
        <x:v>Same as Recall at threshold 1</x:v>
      </x:c>
    </x:row>
    <x:row r="14">
      <x:c r="A14" t="str">
        <x:v>Coverage Rate @2</x:v>
      </x:c>
      <x:c r="B14" s="30" t="n">
        <x:v>0.3389830508474576</x:v>
      </x:c>
      <x:c r="C14" s="30" t="n">
        <x:v>0.2457627118644068</x:v>
      </x:c>
      <x:c r="D14" s="30" t="n">
        <x:f>C14-B14</x:f>
        <x:v>-0.09322033898305082</x:v>
      </x:c>
      <x:c r="E14" s="50" t="n">
        <x:f>IF(B14=0,"",D14/B14)</x:f>
        <x:v>-0.2749999999999999</x:v>
      </x:c>
      <x:c r="F14" s="40" t="str">
        <x:v>Lower breadth but high redundancy among survivors</x:v>
      </x:c>
    </x:row>
    <x:row r="15">
      <x:c r="A15" t="str">
        <x:v>Coverage Rate @3</x:v>
      </x:c>
      <x:c r="B15" s="30" t="n">
        <x:v>0.2033898305084746</x:v>
      </x:c>
      <x:c r="C15" s="30" t="n">
        <x:v>0.23728813559322035</x:v>
      </x:c>
      <x:c r="D15" s="30" t="n">
        <x:f>C15-B15</x:f>
        <x:v>0.033898305084745756</x:v>
      </x:c>
      <x:c r="E15" s="50" t="n">
        <x:f>IF(B15=0,"",D15/B15)</x:f>
        <x:v>0.16666666666666663</x:v>
      </x:c>
      <x:c r="F15" s="40" t="str">
        <x:v>More concepts receive ≥3 LOs despite lower breadth</x:v>
      </x:c>
    </x:row>
    <x:row r="16">
      <x:c r="A16" t="str">
        <x:v>Coverage Rate @5</x:v>
      </x:c>
      <x:c r="B16" s="30" t="n">
        <x:v>0.1271186440677966</x:v>
      </x:c>
      <x:c r="C16" s="30" t="n">
        <x:v>0.2033898305084746</x:v>
      </x:c>
      <x:c r="D16" s="30" t="n">
        <x:f>C16-B16</x:f>
        <x:v>0.07627118644067798</x:v>
      </x:c>
      <x:c r="E16" s="50" t="n">
        <x:f>IF(B16=0,"",D16/B16)</x:f>
        <x:v>0.6000000000000002</x:v>
      </x:c>
      <x:c r="F16" s="40" t="str">
        <x:v>Strong concentration around surviving concepts</x:v>
      </x:c>
    </x:row>
    <x:row r="17">
      <x:c r="A17" t="str">
        <x:v>Coherency Rate</x:v>
      </x:c>
      <x:c r="B17" s="30" t="n">
        <x:v>1</x:v>
      </x:c>
      <x:c r="C17" s="30" t="n">
        <x:v>1</x:v>
      </x:c>
      <x:c r="D17" s="30" t="n">
        <x:f>C17-B17</x:f>
        <x:v>0</x:v>
      </x:c>
      <x:c r="E17" s="50" t="n">
        <x:f>IF(B17=0,"",D17/B17)</x:f>
        <x:v>0</x:v>
      </x:c>
      <x:c r="F17" s="40" t="str">
        <x:v>Saturated / not discriminative here</x:v>
      </x:c>
    </x:row>
    <x:row r="18">
      <x:c r="A18" t="str">
        <x:v>Precision</x:v>
      </x:c>
      <x:c r="B18" s="30" t="n">
        <x:v>1</x:v>
      </x:c>
      <x:c r="C18" s="30" t="n">
        <x:v>1</x:v>
      </x:c>
      <x:c r="D18" s="30" t="n">
        <x:f>C18-B18</x:f>
        <x:v>0</x:v>
      </x:c>
      <x:c r="E18" s="50" t="n">
        <x:f>IF(B18=0,"",D18/B18)</x:f>
        <x:v>0</x:v>
      </x:c>
      <x:c r="F18" s="40" t="str">
        <x:v>Saturated / one connected component</x:v>
      </x:c>
    </x:row>
    <x:row r="19">
      <x:c r="A19" t="str">
        <x:v>Precision subgraph nodes</x:v>
      </x:c>
      <x:c r="B19" s="30" t="n">
        <x:v>1070</x:v>
      </x:c>
      <x:c r="C19" s="30" t="n">
        <x:v>225</x:v>
      </x:c>
      <x:c r="D19" s="30" t="n">
        <x:f>C19-B19</x:f>
        <x:v>-845</x:v>
      </x:c>
      <x:c r="E19" s="50" t="n">
        <x:f>IF(B19=0,"",D19/B19)</x:f>
        <x:v>-0.7897196261682243</x:v>
      </x:c>
      <x:c r="F19" s="40" t="str">
        <x:v>Conceptual subgraph shrank substantially</x:v>
      </x:c>
    </x:row>
  </x:sheetData>
  <x:mergeCells>
    <x:mergeCell ref="A1:F2"/>
  </x:mergeCells>
  <x:conditionalFormatting sqref="E5:E1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52" hidden="0" customWidth="1"/>
    <x:col min="4" max="4" width="20" hidden="0" customWidth="1"/>
    <x:col min="5" max="5" width="58" hidden="0" customWidth="1"/>
    <x:col min="6" max="6" width="12" hidden="0" customWidth="1"/>
    <x:col min="7" max="7" width="20" hidden="0" customWidth="1"/>
  </x:cols>
  <x:sheetData>
    <x:row r="1">
      <x:c r="A1" s="5" t="str">
        <x:v>Analytical results, interpretation, and proposed fixes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20" t="str">
        <x:v>Finding</x:v>
      </x:c>
      <x:c r="B4" s="20" t="str">
        <x:v>Numeric evidence</x:v>
      </x:c>
      <x:c r="C4" s="20" t="str">
        <x:v>Interpretation</x:v>
      </x:c>
      <x:c r="D4" s="20" t="str">
        <x:v>Type</x:v>
      </x:c>
      <x:c r="E4" s="20" t="str">
        <x:v>Recommended response</x:v>
      </x:c>
      <x:c r="F4" s="20" t="str">
        <x:v>Priority</x:v>
      </x:c>
      <x:c r="G4" s="20" t="str">
        <x:v>Change code now?</x:v>
      </x:c>
    </x:row>
    <x:row r="5" ht="72" customHeight="1">
      <x:c r="A5" s="40" t="str">
        <x:v>End-to-end genetic pipeline works</x:v>
      </x:c>
      <x:c r="B5" s="40" t="str">
        <x:v>G0→G50 completed; 51 snapshots; 24,571 historical individuals; 2,079 unique variants; 3,156 final active</x:v>
      </x:c>
      <x:c r="C5" s="40" t="str">
        <x:v>Technical orchestration, persistence, lineage, archive/library, metrics and logs are functioning.</x:v>
      </x:c>
      <x:c r="D5" s="40" t="str">
        <x:v>Success</x:v>
      </x:c>
      <x:c r="E5" s="40" t="str">
        <x:v>Keep architecture; no fix required.</x:v>
      </x:c>
      <x:c r="F5" s="40" t="str">
        <x:v>Keep</x:v>
      </x:c>
      <x:c r="G5" s="40" t="str">
        <x:v>No</x:v>
      </x:c>
    </x:row>
    <x:row r="6" ht="72" customHeight="1">
      <x:c r="A6" s="40" t="str">
        <x:v>Micro-fitness strongly improves</x:v>
      </x:c>
      <x:c r="B6" s="40" t="str">
        <x:v>Mean fitness: 0.301→0.970; median: 0.336→1.000</x:v>
      </x:c>
      <x:c r="C6" s="40" t="str">
        <x:v>Selection strongly favors high Cohesion/Dependence genomes. Late-stage saturation may reduce differentiation.</x:v>
      </x:c>
      <x:c r="D6" s="40" t="str">
        <x:v>Expected + calibration</x:v>
      </x:c>
      <x:c r="E6" s="40" t="str">
        <x:v>Replicate across seeds first. If saturation is systematic, tune selection pressure/lifecycle before changing the fitness equation.</x:v>
      </x:c>
      <x:c r="F6" s="40" t="str">
        <x:v>Medium</x:v>
      </x:c>
      <x:c r="G6" s="40" t="str">
        <x:v>No</x:v>
      </x:c>
    </x:row>
    <x:row r="7" ht="72" customHeight="1">
      <x:c r="A7" s="40" t="str">
        <x:v>Concept coverage collapses</x:v>
      </x:c>
      <x:c r="B7" s="40" t="str">
        <x:v>Covered concepts: 118→30; Recall: 1.000→0.254</x:v>
      </x:c>
      <x:c r="C7" s="40" t="str">
        <x:v>High-fitness lineages dominate while many reference-topic families disappear from the active population.</x:v>
      </x:c>
      <x:c r="D7" s="40" t="str">
        <x:v>Scientific concern</x:v>
      </x:c>
      <x:c r="E7" s="40" t="str">
        <x:v>First tune existing parameters. If persistent, test a separately named coverage/diversity-preserving condition; do not silently add Recall into micro-fitness.</x:v>
      </x:c>
      <x:c r="F7" s="40" t="str">
        <x:v>High</x:v>
      </x:c>
      <x:c r="G7" s="40" t="str">
        <x:v>Not yet</x:v>
      </x:c>
    </x:row>
    <x:row r="8" ht="72" customHeight="1">
      <x:c r="A8" s="40" t="str">
        <x:v>Active genome diversity collapses</x:v>
      </x:c>
      <x:c r="B8" s="40" t="str">
        <x:v>Unique genome ratio: 0.638→0.078</x:v>
      </x:c>
      <x:c r="C8" s="40" t="str">
        <x:v>Historical archive is diverse, but the final active population is dominated by repeated/similar genomes.</x:v>
      </x:c>
      <x:c r="D8" s="40" t="str">
        <x:v>Scientific concern</x:v>
      </x:c>
      <x:c r="E8" s="40" t="str">
        <x:v>Tune mutation/crossover/reproduction/longevity. If still severe, test genotype-frequency penalty, duplicate cap, or diversity-preserving survivor policy as separate variants.</x:v>
      </x:c>
      <x:c r="F8" s="40" t="str">
        <x:v>High</x:v>
      </x:c>
      <x:c r="G8" s="40" t="str">
        <x:v>Not yet</x:v>
      </x:c>
    </x:row>
    <x:row r="9" ht="72" customHeight="1">
      <x:c r="A9" s="40" t="str">
        <x:v>Population expands strongly</x:v>
      </x:c>
      <x:c r="B9" s="40" t="str">
        <x:v>298→3,156 active; 24,571 historical individuals</x:v>
      </x:c>
      <x:c r="C9" s="40" t="str">
        <x:v>Birth/reproduction pressure exceeds Perish enough to produce &gt;10× growth before a late apparent plateau.</x:v>
      </x:c>
      <x:c r="D9" s="40" t="str">
        <x:v>Calibration issue</x:v>
      </x:c>
      <x:c r="E9" s="40" t="str">
        <x:v>Tune operator attempt budget, parent participation, longevity reward, inactivity penalty, maturity age and Perish dynamics. Do not force fixed N unless scientifically justified.</x:v>
      </x:c>
      <x:c r="F9" s="40" t="str">
        <x:v>High</x:v>
      </x:c>
      <x:c r="G9" s="40" t="str">
        <x:v>No</x:v>
      </x:c>
    </x:row>
    <x:row r="10" ht="72" customHeight="1">
      <x:c r="A10" s="40" t="str">
        <x:v>Coherency Rate saturated</x:v>
      </x:c>
      <x:c r="B10" s="40" t="str">
        <x:v>Coherency Rate = 1.000; unresolved keyword occurrences = 0</x:v>
      </x:c>
      <x:c r="C10" s="40" t="str">
        <x:v>Expected consequence of inherited G0 CSO-resolved keywords and no invented keyword-mutation algorithm.</x:v>
      </x:c>
      <x:c r="D10" s="40" t="str">
        <x:v>Metric limitation</x:v>
      </x:c>
      <x:c r="E10" s="40" t="str">
        <x:v>Keep as sanity metric for genome evolution; evaluate more seriously after content realization and independent keyword extraction.</x:v>
      </x:c>
      <x:c r="F10" s="40" t="str">
        <x:v>Low</x:v>
      </x:c>
      <x:c r="G10" s="40" t="str">
        <x:v>No</x:v>
      </x:c>
    </x:row>
    <x:row r="11" ht="72" customHeight="1">
      <x:c r="A11" s="40" t="str">
        <x:v>Precision saturated</x:v>
      </x:c>
      <x:c r="B11" s="40" t="str">
        <x:v>Precision = 1.000; component count = 1; subgraph nodes 1,070→225</x:v>
      </x:c>
      <x:c r="C11" s="40" t="str">
        <x:v>Current graph rule leaves surviving concepts in one connected component, so Proposal precision stays 1.</x:v>
      </x:c>
      <x:c r="D11" s="40" t="str">
        <x:v>Metric limitation</x:v>
      </x:c>
      <x:c r="E11" s="40" t="str">
        <x:v>Test across more seeds. If always saturated, add a supplementary connectivity/dispersion metric or explicitly version a revised Precision operationalization before final runs.</x:v>
      </x:c>
      <x:c r="F11" s="40" t="str">
        <x:v>Medium</x:v>
      </x:c>
      <x:c r="G11" s="40" t="str">
        <x:v>Not yet</x:v>
      </x:c>
    </x:row>
    <x:row r="12" ht="72" customHeight="1">
      <x:c r="A12" s="40" t="str">
        <x:v>Generation F1 mostly tracks Recall</x:v>
      </x:c>
      <x:c r="B12" s="40" t="str">
        <x:v>F1: 1.000→0.405 while Precision stays 1.000</x:v>
      </x:c>
      <x:c r="C12" s="40" t="str">
        <x:v>With constant Precision, F1 variation is mathematically driven almost entirely by Recall.</x:v>
      </x:c>
      <x:c r="D12" s="40" t="str">
        <x:v>Metric consequence</x:v>
      </x:c>
      <x:c r="E12" s="40" t="str">
        <x:v>Report Precision and Recall separately. Fixing/augmenting Precision sensitivity would make F1 more informative.</x:v>
      </x:c>
      <x:c r="F12" s="40" t="str">
        <x:v>Medium</x:v>
      </x:c>
      <x:c r="G12" s="40" t="str">
        <x:v>No</x:v>
      </x:c>
    </x:row>
    <x:row r="13" ht="72" customHeight="1">
      <x:c r="A13" s="40" t="str">
        <x:v>T_ref is a retention reference</x:v>
      </x:c>
      <x:c r="B13" s="40" t="str">
        <x:v>T_ref = 118 G0-resolved concepts; G0 Recall = 1.000 by construction</x:v>
      </x:c>
      <x:c r="C13" s="40" t="str">
        <x:v>Current Recall measures preservation of G0 concept coverage, not discovery beyond G0.</x:v>
      </x:c>
      <x:c r="D13" s="40" t="str">
        <x:v>Design caveat</x:v>
      </x:c>
      <x:c r="E13" s="40" t="str">
        <x:v>Keep current T_ref for retention, but consider a second independent chapter-level reference set for external coverage/generalization analysis.</x:v>
      </x:c>
      <x:c r="F13" s="40" t="str">
        <x:v>High</x:v>
      </x:c>
      <x:c r="G13" s="40" t="str">
        <x:v>Potentially add metric only</x:v>
      </x:c>
    </x:row>
    <x:row r="14" ht="72" customHeight="1">
      <x:c r="A14" s="40" t="str">
        <x:v>Coverage Rate shows concentration</x:v>
      </x:c>
      <x:c r="B14" s="40" t="str">
        <x:v>G50: @1=0.254, @2=0.246, @3=0.237, @5=0.203</x:v>
      </x:c>
      <x:c r="C14" s="40" t="str">
        <x:v>Most surviving concepts are represented repeatedly; breadth drops while redundancy around survivors increases.</x:v>
      </x:c>
      <x:c r="D14" s="40" t="str">
        <x:v>Useful finding</x:v>
      </x:c>
      <x:c r="E14" s="40" t="str">
        <x:v>Keep metric. Address only if the underlying concentration is undesirable through evolutionary calibration.</x:v>
      </x:c>
      <x:c r="F14" s="40" t="str">
        <x:v>Keep</x:v>
      </x:c>
      <x:c r="G14" s="40" t="str">
        <x:v>No</x:v>
      </x:c>
    </x:row>
    <x:row r="15" ht="72" customHeight="1">
      <x:c r="A15" s="40" t="str">
        <x:v>Structural operators are active</x:v>
      </x:c>
      <x:c r="B15" s="40" t="str">
        <x:v>G50 attempts: composition 100, crossover 352, decomposition 56, defusion 40, fusion 89, mutation 363</x:v>
      </x:c>
      <x:c r="C15" s="40" t="str">
        <x:v>Structural operators are participating rather than remaining dead code.</x:v>
      </x:c>
      <x:c r="D15" s="40" t="str">
        <x:v>Success + calibration</x:v>
      </x:c>
      <x:c r="E15" s="40" t="str">
        <x:v>Aggregate success rates across all generations; tune probabilities only if an operator dominates or systematically fails.</x:v>
      </x:c>
      <x:c r="F15" s="40" t="str">
        <x:v>Medium</x:v>
      </x:c>
      <x:c r="G15" s="40" t="str">
        <x:v>No</x:v>
      </x:c>
    </x:row>
    <x:row r="16" ht="72" customHeight="1">
      <x:c r="A16" s="40" t="str">
        <x:v>Archive/library separation works</x:v>
      </x:c>
      <x:c r="B16" s="40" t="str">
        <x:v>24,571 individual occurrences vs 2,079 unique genome variants vs 3,156 final active</x:v>
      </x:c>
      <x:c r="C16" s="40" t="str">
        <x:v>Historical archive, deduplicated library, and final active population capture different scientific objects as intended.</x:v>
      </x:c>
      <x:c r="D16" s="40" t="str">
        <x:v>Success</x:v>
      </x:c>
      <x:c r="E16" s="40" t="str">
        <x:v>Keep as-is; useful for later content-realization selection.</x:v>
      </x:c>
      <x:c r="F16" s="40" t="str">
        <x:v>Keep</x:v>
      </x:c>
      <x:c r="G16" s="40" t="str">
        <x:v>No</x:v>
      </x:c>
    </x:row>
  </x:sheetData>
  <x:mergeCells>
    <x:mergeCell ref="A1:G2"/>
  </x:mergeCells>
  <x:conditionalFormatting sqref="D5:D16">
    <x:cfRule type="expression" dxfId="0" priority="1">
      <x:formula>D5="Success"</x:formula>
    </x:cfRule>
    <x:cfRule type="expression" dxfId="1" priority="2">
      <x:formula>D5="Scientific concern"</x:formula>
    </x:cfRule>
    <x:cfRule type="expression" dxfId="2" priority="3">
      <x:formula>D5="Calibration issue"</x:formula>
    </x:cfRule>
    <x:cfRule type="expression" dxfId="3" priority="4">
      <x:formula>D5="Metric limitation"</x:formula>
    </x:cfRule>
    <x:cfRule type="expression" dxfId="4" priority="5">
      <x:formula>D5="Design caveat"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6" hidden="0" customWidth="1"/>
    <x:col min="3" max="3" width="58" hidden="0" customWidth="1"/>
    <x:col min="4" max="4" width="12" hidden="0" customWidth="1"/>
  </x:cols>
  <x:sheetData>
    <x:row r="1">
      <x:c r="A1" s="5" t="str">
        <x:v>Run output structure and what each artifact means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20" t="str">
        <x:v>Artifact</x:v>
      </x:c>
      <x:c r="B4" s="20" t="str">
        <x:v>Format</x:v>
      </x:c>
      <x:c r="C4" s="20" t="str">
        <x:v>Purpose</x:v>
      </x:c>
      <x:c r="D4" s="20" t="str">
        <x:v>Status</x:v>
      </x:c>
    </x:row>
    <x:row r="5" ht="42" customHeight="1">
      <x:c r="A5" s="40" t="str">
        <x:v>generations/generation_0000.json … generation_0050.json</x:v>
      </x:c>
      <x:c r="B5" s="40" t="str">
        <x:v>JSON</x:v>
      </x:c>
      <x:c r="C5" s="40" t="str">
        <x:v>Snapshot of every active generation, including all middle generations</x:v>
      </x:c>
      <x:c r="D5" s="40" t="str">
        <x:v>Present</x:v>
      </x:c>
    </x:row>
    <x:row r="6" ht="42" customHeight="1">
      <x:c r="A6" s="40" t="str">
        <x:v>final_generation.jsonl / .csv</x:v>
      </x:c>
      <x:c r="B6" s="40" t="str">
        <x:v>JSONL + CSV</x:v>
      </x:c>
      <x:c r="C6" s="40" t="str">
        <x:v>Convenient export of G50 active population</x:v>
      </x:c>
      <x:c r="D6" s="40" t="str">
        <x:v>Present</x:v>
      </x:c>
    </x:row>
    <x:row r="7" ht="42" customHeight="1">
      <x:c r="A7" s="40" t="str">
        <x:v>archive/genome_archive.jsonl / .csv</x:v>
      </x:c>
      <x:c r="B7" s="40" t="str">
        <x:v>JSONL + CSV</x:v>
      </x:c>
      <x:c r="C7" s="40" t="str">
        <x:v>Every historical individual occurrence ever created</x:v>
      </x:c>
      <x:c r="D7" s="40" t="str">
        <x:v>Present</x:v>
      </x:c>
    </x:row>
    <x:row r="8" ht="42" customHeight="1">
      <x:c r="A8" s="40" t="str">
        <x:v>library/genome_library.jsonl / .csv</x:v>
      </x:c>
      <x:c r="B8" s="40" t="str">
        <x:v>JSONL + CSV</x:v>
      </x:c>
      <x:c r="C8" s="40" t="str">
        <x:v>Deduplicated unique genome variants</x:v>
      </x:c>
      <x:c r="D8" s="40" t="str">
        <x:v>Present</x:v>
      </x:c>
    </x:row>
    <x:row r="9" ht="42" customHeight="1">
      <x:c r="A9" s="40" t="str">
        <x:v>lineage/nodes.csv + edges.csv</x:v>
      </x:c>
      <x:c r="B9" s="40" t="str">
        <x:v>CSV</x:v>
      </x:c>
      <x:c r="C9" s="40" t="str">
        <x:v>Tabular parent/child lineage representation</x:v>
      </x:c>
      <x:c r="D9" s="40" t="str">
        <x:v>Present</x:v>
      </x:c>
    </x:row>
    <x:row r="10" ht="42" customHeight="1">
      <x:c r="A10" s="40" t="str">
        <x:v>lineage/lineage.graphml</x:v>
      </x:c>
      <x:c r="B10" s="40" t="str">
        <x:v>GraphML</x:v>
      </x:c>
      <x:c r="C10" s="40" t="str">
        <x:v>Graph visualization/network-analysis format</x:v>
      </x:c>
      <x:c r="D10" s="40" t="str">
        <x:v>Present</x:v>
      </x:c>
    </x:row>
    <x:row r="11" ht="42" customHeight="1">
      <x:c r="A11" s="40" t="str">
        <x:v>lineage/lineage.json</x:v>
      </x:c>
      <x:c r="B11" s="40" t="str">
        <x:v>JSON</x:v>
      </x:c>
      <x:c r="C11" s="40" t="str">
        <x:v>Machine-readable lineage graph</x:v>
      </x:c>
      <x:c r="D11" s="40" t="str">
        <x:v>Present</x:v>
      </x:c>
    </x:row>
    <x:row r="12" ht="42" customHeight="1">
      <x:c r="A12" s="40" t="str">
        <x:v>metrics/generation_metrics.csv</x:v>
      </x:c>
      <x:c r="B12" s="40" t="str">
        <x:v>CSV</x:v>
      </x:c>
      <x:c r="C12" s="40" t="str">
        <x:v>One row per generation with macro/micro/operator metrics</x:v>
      </x:c>
      <x:c r="D12" s="40" t="str">
        <x:v>Present</x:v>
      </x:c>
    </x:row>
    <x:row r="13" ht="42" customHeight="1">
      <x:c r="A13" s="40" t="str">
        <x:v>metrics/coherency_rank.csv</x:v>
      </x:c>
      <x:c r="B13" s="40" t="str">
        <x:v>CSV</x:v>
      </x:c>
      <x:c r="C13" s="40" t="str">
        <x:v>Long-form Coherency Rank output</x:v>
      </x:c>
      <x:c r="D13" s="40" t="str">
        <x:v>Present</x:v>
      </x:c>
    </x:row>
    <x:row r="14" ht="42" customHeight="1">
      <x:c r="A14" s="40" t="str">
        <x:v>metrics/generation_XXXX.json</x:v>
      </x:c>
      <x:c r="B14" s="40" t="str">
        <x:v>JSON</x:v>
      </x:c>
      <x:c r="C14" s="40" t="str">
        <x:v>Detailed metric snapshot for each generation</x:v>
      </x:c>
      <x:c r="D14" s="40" t="str">
        <x:v>Present</x:v>
      </x:c>
    </x:row>
    <x:row r="15" ht="42" customHeight="1">
      <x:c r="A15" s="40" t="str">
        <x:v>logs/evolution_events.jsonl</x:v>
      </x:c>
      <x:c r="B15" s="40" t="str">
        <x:v>JSONL</x:v>
      </x:c>
      <x:c r="C15" s="40" t="str">
        <x:v>Evolutionary event log</x:v>
      </x:c>
      <x:c r="D15" s="40" t="str">
        <x:v>Present</x:v>
      </x:c>
    </x:row>
    <x:row r="16" ht="42" customHeight="1">
      <x:c r="A16" s="40" t="str">
        <x:v>logs/generation_policy.jsonl</x:v>
      </x:c>
      <x:c r="B16" s="40" t="str">
        <x:v>JSONL</x:v>
      </x:c>
      <x:c r="C16" s="40" t="str">
        <x:v>Generation-level policy/config events</x:v>
      </x:c>
      <x:c r="D16" s="40" t="str">
        <x:v>Present</x:v>
      </x:c>
    </x:row>
    <x:row r="17" ht="42" customHeight="1">
      <x:c r="A17" s="40" t="str">
        <x:v>reference/t_ref.json</x:v>
      </x:c>
      <x:c r="B17" s="40" t="str">
        <x:v>JSON</x:v>
      </x:c>
      <x:c r="C17" s="40" t="str">
        <x:v>Frozen G0-based reference concept set</x:v>
      </x:c>
      <x:c r="D17" s="40" t="str">
        <x:v>Present</x:v>
      </x:c>
    </x:row>
    <x:row r="18" ht="42" customHeight="1">
      <x:c r="A18" s="40" t="str">
        <x:v>run_manifest.json / config.json / checksums.json / summary.json</x:v>
      </x:c>
      <x:c r="B18" s="40" t="str">
        <x:v>JSON</x:v>
      </x:c>
      <x:c r="C18" s="40" t="str">
        <x:v>Reproducibility, config, integrity and summary metadata</x:v>
      </x:c>
      <x:c r="D18" s="40" t="str">
        <x:v>Present</x:v>
      </x:c>
    </x:row>
  </x:sheetData>
  <x:mergeCells>
    <x:mergeCell ref="A1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2" hidden="0" customWidth="1"/>
    <x:col min="4" max="4" width="54" hidden="0" customWidth="1"/>
    <x:col min="5" max="5" width="42" hidden="0" customWidth="1"/>
  </x:cols>
  <x:sheetData>
    <x:row r="1">
      <x:c r="A1" s="5" t="str">
        <x:v>Metric definitions and interpretation notes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20" t="str">
        <x:v>Metric</x:v>
      </x:c>
      <x:c r="B4" s="20" t="str">
        <x:v>Definition used</x:v>
      </x:c>
      <x:c r="C4" s="20" t="str">
        <x:v>Observed behavior</x:v>
      </x:c>
      <x:c r="D4" s="20" t="str">
        <x:v>Interpretation caveat</x:v>
      </x:c>
      <x:c r="E4" s="20" t="str">
        <x:v>Action</x:v>
      </x:c>
    </x:row>
    <x:row r="5" ht="60" customHeight="1">
      <x:c r="A5" s="40" t="str">
        <x:v>Micro fitness</x:v>
      </x:c>
      <x:c r="B5" s="40" t="str">
        <x:v>0.5×Cohesion + 0.5×Dependence (current main configuration)</x:v>
      </x:c>
      <x:c r="C5" s="40" t="str">
        <x:v>0.301→0.970 mean</x:v>
      </x:c>
      <x:c r="D5" s="40" t="str">
        <x:v>Optimization objective, not independent proof of success</x:v>
      </x:c>
      <x:c r="E5" s="40" t="str">
        <x:v>Keep; calibrate surrounding evolutionary parameters</x:v>
      </x:c>
    </x:row>
    <x:row r="6" ht="60" customHeight="1">
      <x:c r="A6" s="40" t="str">
        <x:v>Recall / Coverage Span</x:v>
      </x:c>
      <x:c r="B6" s="40" t="str">
        <x:v>Directly covered T_ref concepts / |T_ref|</x:v>
      </x:c>
      <x:c r="C6" s="40" t="str">
        <x:v>1.000→0.254</x:v>
      </x:c>
      <x:c r="D6" s="40" t="str">
        <x:v>T_ref is defined from G0, so G0 is 1.0 by construction</x:v>
      </x:c>
      <x:c r="E6" s="40" t="str">
        <x:v>Use as retention metric; consider second external chapter reference</x:v>
      </x:c>
    </x:row>
    <x:row r="7" ht="60" customHeight="1">
      <x:c r="A7" s="40" t="str">
        <x:v>Coherency Rate</x:v>
      </x:c>
      <x:c r="B7" s="40" t="str">
        <x:v>Resolved/coherent keyword occurrences / all keyword occurrences</x:v>
      </x:c>
      <x:c r="C7" s="40" t="str">
        <x:v>1.000 in shown checkpoints</x:v>
      </x:c>
      <x:c r="D7" s="40" t="str">
        <x:v>Inherited G0 CSO-resolved keywords make this structurally easy to satisfy</x:v>
      </x:c>
      <x:c r="E7" s="40" t="str">
        <x:v>Keep as sanity metric; revisit after content keyword extraction</x:v>
      </x:c>
    </x:row>
    <x:row r="8" ht="60" customHeight="1">
      <x:c r="A8" s="40" t="str">
        <x:v>Coherency Rank</x:v>
      </x:c>
      <x:c r="B8" s="40" t="str">
        <x:v>Rank keywords by hierarchical breadth within T_ref</x:v>
      </x:c>
      <x:c r="C8" s="40" t="str">
        <x:v>Stored separately</x:v>
      </x:c>
      <x:c r="D8" s="40" t="str">
        <x:v>Ranking, not scalar</x:v>
      </x:c>
      <x:c r="E8" s="40" t="str">
        <x:v>Keep</x:v>
      </x:c>
    </x:row>
    <x:row r="9" ht="60" customHeight="1">
      <x:c r="A9" s="40" t="str">
        <x:v>Precision</x:v>
      </x:c>
      <x:c r="B9" s="40" t="str">
        <x:v>1 - (components-1)/subgraph_nodes using frozen graph rule</x:v>
      </x:c>
      <x:c r="C9" s="40" t="str">
        <x:v>1.000 in shown checkpoints</x:v>
      </x:c>
      <x:c r="D9" s="40" t="str">
        <x:v>One connected component causes saturation</x:v>
      </x:c>
      <x:c r="E9" s="40" t="str">
        <x:v>Replicate; consider supplementary dispersion metric</x:v>
      </x:c>
    </x:row>
    <x:row r="10" ht="60" customHeight="1">
      <x:c r="A10" s="40" t="str">
        <x:v>Generation F1</x:v>
      </x:c>
      <x:c r="B10" s="40" t="str">
        <x:v>Harmonic mean of Precision and Recall</x:v>
      </x:c>
      <x:c r="C10" s="40" t="str">
        <x:v>1.000→0.405</x:v>
      </x:c>
      <x:c r="D10" s="40" t="str">
        <x:v>Currently mostly a transform of Recall because Precision=1</x:v>
      </x:c>
      <x:c r="E10" s="40" t="str">
        <x:v>Report components separately</x:v>
      </x:c>
    </x:row>
    <x:row r="11" ht="60" customHeight="1">
      <x:c r="A11" s="40" t="str">
        <x:v>Coverage Rate @τ</x:v>
      </x:c>
      <x:c r="B11" s="40" t="str">
        <x:v>Fraction of T_ref with ≥τ distinct LOs</x:v>
      </x:c>
      <x:c r="C11" s="40" t="str">
        <x:v>@1 falls; @3/@5 become relatively stronger</x:v>
      </x:c>
      <x:c r="D11" s="40" t="str">
        <x:v>Shows redundancy/concentration, not just breadth</x:v>
      </x:c>
      <x:c r="E11" s="40" t="str">
        <x:v>Keep</x:v>
      </x:c>
    </x:row>
    <x:row r="12" ht="60" customHeight="1">
      <x:c r="A12" s="40" t="str">
        <x:v>Unique genome ratio</x:v>
      </x:c>
      <x:c r="B12" s="40" t="str">
        <x:v>Unique active genome variants / active population</x:v>
      </x:c>
      <x:c r="C12" s="40" t="str">
        <x:v>0.638→0.078</x:v>
      </x:c>
      <x:c r="D12" s="40" t="str">
        <x:v>Historical library can still be diverse while active population converges</x:v>
      </x:c>
      <x:c r="E12" s="40" t="str">
        <x:v>Use as key diversity-health diagnostic</x:v>
      </x:c>
    </x:row>
    <x:row r="13">
      <x:c r="A13" s="40"/>
      <x:c r="B13" s="40"/>
      <x:c r="C13" s="40"/>
      <x:c r="D13" s="40"/>
      <x:c r="E13" s="40"/>
    </x:row>
    <x:row r="14">
      <x:c r="A14" s="44" t="str">
        <x:v>Source basis: first full technical genome-evolution run run-20260926T074102Z-f046b3e2. Numeric checkpoint rows reproduced from the user's pasted terminal output (G0–G3 and G46–G50). This workbook intentionally labels the run as technical/pilot, not the final calibrated scientific result.</x:v>
      </x:c>
      <x:c r="B14" s="44"/>
      <x:c r="C14" s="44"/>
      <x:c r="D14" s="44"/>
      <x:c r="E14" s="44"/>
    </x:row>
    <x:row r="15">
      <x:c r="A15" s="44"/>
      <x:c r="B15" s="44"/>
      <x:c r="C15" s="44"/>
      <x:c r="D15" s="44"/>
      <x:c r="E15" s="44"/>
    </x:row>
    <x:row r="16">
      <x:c r="A16" s="44"/>
      <x:c r="B16" s="44"/>
      <x:c r="C16" s="44"/>
      <x:c r="D16" s="44"/>
      <x:c r="E16" s="44"/>
    </x:row>
  </x:sheetData>
  <x:mergeCells>
    <x:mergeCell ref="A1:E2"/>
    <x:mergeCell ref="A14:E16"/>
  </x:mergeCells>
  <x:pageMargins left="0.7" right="0.7" top="0.75" bottom="0.75" header="0.3" footer="0.3"/>
</x:worksheet>
</file>